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harts/chart1.xml" ContentType="application/vnd.openxmlformats-officedocument.drawingml.chart+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_rels/drawing1.xml.rels" ContentType="application/vnd.openxmlformats-package.relationships+xml"/>
  <Override PartName="/xl/drawings/drawing1.xml" ContentType="application/vnd.openxmlformats-officedocument.drawing+xml"/>
  <Override PartName="/xl/drawings/vmlDrawing6.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5"/>
  </bookViews>
  <sheets>
    <sheet name="InformacoesBasicas" sheetId="1" state="visible" r:id="rId2"/>
    <sheet name="Entrada de $" sheetId="2" state="visible" r:id="rId3"/>
    <sheet name="Custo Unitário" sheetId="3" state="visible" r:id="rId4"/>
    <sheet name="Calculo de Custo" sheetId="4" state="visible" r:id="rId5"/>
    <sheet name="Saídas de $" sheetId="5" state="visible" r:id="rId6"/>
    <sheet name="Resumo-Planejamento Financeiro" sheetId="6" state="visible" r:id="rId7"/>
    <sheet name="Premissas e Modelo" sheetId="7"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9" authorId="0">
      <text>
        <r>
          <rPr>
            <sz val="10"/>
            <rFont val="Arial"/>
            <family val="0"/>
            <charset val="1"/>
          </rPr>
          <t xml:space="preserve">Escreva o nome da sua empresa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4</xdr:row>
                <xdr:rowOff>13</xdr:rowOff>
              </xdr:to>
            </anchor>
          </commentPr>
        </mc:Choice>
        <mc:Fallback/>
      </mc:AlternateContent>
    </comment>
    <comment ref="A10" authorId="0">
      <text>
        <r>
          <rPr>
            <sz val="10"/>
            <rFont val="Arial"/>
            <family val="0"/>
            <charset val="1"/>
          </rPr>
          <t xml:space="preserve">Escolha o número que representa a PRINCIPAL da sua empresa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5</xdr:row>
                <xdr:rowOff>14</xdr:rowOff>
              </xdr:to>
            </anchor>
          </commentPr>
        </mc:Choice>
        <mc:Fallback/>
      </mc:AlternateContent>
    </comment>
    <comment ref="A15" authorId="0">
      <text>
        <r>
          <rPr>
            <sz val="10"/>
            <rFont val="Arial"/>
            <family val="0"/>
            <charset val="1"/>
          </rPr>
          <t xml:space="preserve">Escreva o nome dos produtos ou serviços que sua empresa irá vender. Caso sua empresa venda muitos itens, a recomendação é que você coloque categorias de produtos. Por exemplo, se estiver fazendo o planejamento financeiro para uma lanchonete, não coloque o nome de cada produto. Faça a opção por "Lanches", "Bebidas", "Petiscos". Caso tenha duas categorias de "Lanches" muito diferentes, então coloque algo como "Lanches Especiais" e "Lanches Básicos".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23</xdr:row>
                <xdr:rowOff>7</xdr:rowOff>
              </xdr:to>
            </anchor>
          </commentPr>
        </mc:Choice>
        <mc:Fallback/>
      </mc:AlternateContent>
    </comment>
    <comment ref="A28" authorId="0">
      <text>
        <r>
          <rPr>
            <sz val="10"/>
            <rFont val="Arial"/>
            <family val="0"/>
            <charset val="1"/>
          </rPr>
          <t xml:space="preserve">Faça uma estimativa de quanto você acredita que as vendas da sua empresa crescerão do primeiro ano, para o segundo ano, e assim por diante.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8</xdr:row>
                <xdr:rowOff>8</xdr:rowOff>
              </xdr:to>
            </anchor>
          </commentPr>
        </mc:Choice>
        <mc:Fallback/>
      </mc:AlternateContent>
    </comment>
    <comment ref="A35" authorId="0">
      <text>
        <r>
          <rPr>
            <sz val="10"/>
            <rFont val="Arial"/>
            <family val="0"/>
            <charset val="1"/>
          </rPr>
          <t xml:space="preserve">Infelizmente, as despesas da sua empresa também crescerão. Nesta parte, faça uma estimativa dos reajustes que espera ter nas suas despesas.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9</xdr:row>
                <xdr:rowOff>6</xdr:rowOff>
              </xdr:to>
            </anchor>
          </commentPr>
        </mc:Choice>
        <mc:Fallback/>
      </mc:AlternateContent>
    </comment>
    <comment ref="A42" authorId="0">
      <text>
        <r>
          <rPr>
            <sz val="10"/>
            <rFont val="Arial"/>
            <family val="0"/>
            <charset val="1"/>
          </rPr>
          <t xml:space="preserve">Infelizmente, as despesas da sua empresa também crescerão. Nesta parte, faça uma estimativa dos reajustes que espera ter nas suas despesas.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77</xdr:colOff>
                <xdr:row>9</xdr:row>
                <xdr:rowOff>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8" authorId="0">
      <text>
        <r>
          <rPr>
            <sz val="10"/>
            <rFont val="Arial"/>
            <family val="0"/>
            <charset val="1"/>
          </rPr>
          <t xml:space="preserve">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18</xdr:row>
                <xdr:rowOff>4</xdr:rowOff>
              </xdr:to>
            </anchor>
          </commentPr>
        </mc:Choice>
        <mc:Fallback/>
      </mc:AlternateContent>
    </comment>
    <comment ref="A9" authorId="0">
      <text>
        <r>
          <rPr>
            <sz val="10"/>
            <rFont val="Arial"/>
            <family val="0"/>
            <charset val="1"/>
          </rPr>
          <t xml:space="preserve">Aqui coloque o preço que espera vender seu produto ou quanto vai cobrar por cada serviço prestado.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6</xdr:row>
                <xdr:rowOff>8</xdr:rowOff>
              </xdr:to>
            </anchor>
          </commentPr>
        </mc:Choice>
        <mc:Fallback/>
      </mc:AlternateContent>
    </comment>
    <comment ref="A16" authorId="0">
      <text>
        <r>
          <rPr>
            <sz val="10"/>
            <rFont val="Arial"/>
            <family val="0"/>
            <charset val="1"/>
          </rPr>
          <t xml:space="preserve">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18</xdr:row>
                <xdr:rowOff>4</xdr:rowOff>
              </xdr:to>
            </anchor>
          </commentPr>
        </mc:Choice>
        <mc:Fallback/>
      </mc:AlternateContent>
    </comment>
    <comment ref="A17" authorId="0">
      <text>
        <r>
          <rPr>
            <sz val="10"/>
            <rFont val="Arial"/>
            <family val="0"/>
            <charset val="1"/>
          </rPr>
          <t xml:space="preserve">Aqui coloque o preço que espera vender seu produto ou quanto vai cobrar por cada serviço prestado.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6</xdr:row>
                <xdr:rowOff>8</xdr:rowOff>
              </xdr:to>
            </anchor>
          </commentPr>
        </mc:Choice>
        <mc:Fallback/>
      </mc:AlternateContent>
    </comment>
    <comment ref="A24" authorId="0">
      <text>
        <r>
          <rPr>
            <sz val="10"/>
            <rFont val="Arial"/>
            <family val="0"/>
            <charset val="1"/>
          </rPr>
          <t xml:space="preserve">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18</xdr:row>
                <xdr:rowOff>4</xdr:rowOff>
              </xdr:to>
            </anchor>
          </commentPr>
        </mc:Choice>
        <mc:Fallback/>
      </mc:AlternateContent>
    </comment>
    <comment ref="A25" authorId="0">
      <text>
        <r>
          <rPr>
            <sz val="10"/>
            <rFont val="Arial"/>
            <family val="0"/>
            <charset val="1"/>
          </rPr>
          <t xml:space="preserve">Aqui coloque o preço que espera vender seu produto ou quanto vai cobrar por cada serviço prestado.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6</xdr:row>
                <xdr:rowOff>8</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0"/>
            <charset val="1"/>
          </rPr>
          <t xml:space="preserve">Nesta planilha você precisa fazer uma estimativa de qual será o custo de cada produto vendido ou fabricado ou de cada serviço prestado.
Imagine alguns exemplos:
a) Em uma pastelaria, você teria que estimar o custo médio de fabricação de cada pastel. Quanto você gastaria com farinha, ovos, recheio, etc para cada pastel.
b) Em uma loja de sapatos, você teria que estimar o preço médio que você pagaria para comprar o sapato da fábrica ou distribuidor de sapatos. Nesta situação, você poderia imaginar mais de uma categoria de sapatos porque cada categoria teria preços e custos muito diferentes.
c) Em uma empresa de serviço como um salão de beleza, por exemplo, você teria que estimar o custo da pretação de cada serviço. Seria necessário imaginar mais de uma categoria de serviço e estimar um custo médio com produtos para cada tipo de serviço. Em um corte de cabelo, você teria que estimar o custo de shampoo, da energia elétrica, do secador, etc.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53</xdr:row>
                <xdr:rowOff>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0"/>
            <charset val="1"/>
          </rPr>
          <t xml:space="preserve">Nesta planilha, o custo mensal é calculado automaticamente com base no custo unitário e na projeção de vendas.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22</xdr:colOff>
                <xdr:row>6</xdr:row>
                <xdr:rowOff>8</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0"/>
            <charset val="1"/>
          </rPr>
          <t xml:space="preserve">Nesta planilha é necessário fazer estimativas de quanto você vai gastar para criar a empresa e de quanto serão as despesas para mantê-la funcionando no primeiro ano.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xdr:colOff>
                <xdr:row>10</xdr:row>
                <xdr:rowOff>9</xdr:rowOff>
              </xdr:to>
            </anchor>
          </commentPr>
        </mc:Choice>
        <mc:Fallback/>
      </mc:AlternateContent>
    </comment>
    <comment ref="A29" authorId="0">
      <text>
        <r>
          <rPr>
            <sz val="10"/>
            <rFont val="Arial"/>
            <family val="0"/>
            <charset val="1"/>
          </rPr>
          <t xml:space="preserve">Contabilidade, Internet, Advogados, Segurança, Limpeza, etc.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xdr:colOff>
                <xdr:row>5</xdr:row>
                <xdr:rowOff>4</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0"/>
            <charset val="1"/>
          </rPr>
          <t xml:space="preserve">Este é o resumo do seu planejamento financeiro. Utilize o quando no seu plano de negócio para explicar os resultados financeiros que espera obter e a rentabilidade esperada.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xdr:colOff>
                <xdr:row>8</xdr:row>
                <xdr:rowOff>4</xdr:rowOff>
              </xdr:to>
            </anchor>
          </commentPr>
        </mc:Choice>
        <mc:Fallback/>
      </mc:AlternateContent>
    </comment>
  </commentList>
</comments>
</file>

<file path=xl/sharedStrings.xml><?xml version="1.0" encoding="utf-8"?>
<sst xmlns="http://schemas.openxmlformats.org/spreadsheetml/2006/main" count="153" uniqueCount="120">
  <si>
    <t xml:space="preserve">Esta planilha irá ajudá-lo(a) a preparar o planejamento financeiro para a sua startup. É uma planilha simplificada que exige pouca familiaridade com contabilidade ou finanças. 
Preencha todos os campos em "VERDE".
Utilize apenas a última planilha "Resumo - Planejamento Financeiro" para demonstrar a viabilidade e lucratividade da sua empresa.</t>
  </si>
  <si>
    <t xml:space="preserve">Nome da Empresa:</t>
  </si>
  <si>
    <t xml:space="preserve">EcoTracker Tecnologia Ambiental Ltda.</t>
  </si>
  <si>
    <t xml:space="preserve">Atividade:</t>
  </si>
  <si>
    <t xml:space="preserve">1 para Comércio (posicione o cursor para ver exemplos)</t>
  </si>
  <si>
    <t xml:space="preserve">2 para Serviços (posicione o cursor para ver exemplos)</t>
  </si>
  <si>
    <t xml:space="preserve">3 para Indústria (posicione o cursor para ver exemplos)</t>
  </si>
  <si>
    <t xml:space="preserve">Assinatura Premium (usuário final)</t>
  </si>
  <si>
    <t xml:space="preserve">Licença B2B EcoTracker Compliance</t>
  </si>
  <si>
    <t xml:space="preserve">Patrocínio / publicidade no app</t>
  </si>
  <si>
    <t xml:space="preserve">Comissão de compensação de carbono</t>
  </si>
  <si>
    <t xml:space="preserve">Estimativa de crescimento das vendas</t>
  </si>
  <si>
    <t xml:space="preserve">Crescimento das vendas no Ano 02</t>
  </si>
  <si>
    <t xml:space="preserve">Crescimento das vendas no Ano 03</t>
  </si>
  <si>
    <t xml:space="preserve">Crescimento das vendas no Ano 04</t>
  </si>
  <si>
    <t xml:space="preserve">Crescimento das vendas no Ano 05</t>
  </si>
  <si>
    <t xml:space="preserve">Estimativa de reajustes nas despesas</t>
  </si>
  <si>
    <t xml:space="preserve">Reajustes nas despesas no Ano 02</t>
  </si>
  <si>
    <t xml:space="preserve">Reajustes nas despesas no Ano 03</t>
  </si>
  <si>
    <t xml:space="preserve">Reajustes nas despesas no Ano 04</t>
  </si>
  <si>
    <t xml:space="preserve">Reajustes nas despesas no Ano 05</t>
  </si>
  <si>
    <t xml:space="preserve">Estimativa de reajustes nos custos diretos</t>
  </si>
  <si>
    <t xml:space="preserve">Planilha para Projeção de Vendas</t>
  </si>
  <si>
    <t xml:space="preserve">Custo de aquisição</t>
  </si>
  <si>
    <t xml:space="preserve">Mês</t>
  </si>
  <si>
    <t xml:space="preserve">Vendas - Ano 01</t>
  </si>
  <si>
    <t xml:space="preserve">Vendas Totais</t>
  </si>
  <si>
    <t xml:space="preserve">Itens vendidos</t>
  </si>
  <si>
    <t xml:space="preserve">Planilha para Cálculo do Custo Unitário</t>
  </si>
  <si>
    <t xml:space="preserve">Planilha para Cálculo do Custo Total</t>
  </si>
  <si>
    <t xml:space="preserve">Assinaturas ativas</t>
  </si>
  <si>
    <t xml:space="preserve">Estimativa de Saídas de Caixa com Gastos Pré-Operacionais e Despesas Operacionais</t>
  </si>
  <si>
    <t xml:space="preserve">Gastos e Despesas - Ano 01</t>
  </si>
  <si>
    <t xml:space="preserve">Total de Saída de Caixa</t>
  </si>
  <si>
    <t xml:space="preserve">Depreciação</t>
  </si>
  <si>
    <t xml:space="preserve">Gastos para criar a empresa</t>
  </si>
  <si>
    <t xml:space="preserve">Gastos com documentação</t>
  </si>
  <si>
    <t xml:space="preserve">Gastos com máquinas e equipamentos</t>
  </si>
  <si>
    <t xml:space="preserve">Gastos com reforma do imóvel</t>
  </si>
  <si>
    <t xml:space="preserve">Gastos com móveis e utensílios</t>
  </si>
  <si>
    <t xml:space="preserve">Gastos com estoque inicial</t>
  </si>
  <si>
    <t xml:space="preserve">Outros gastos pré-operacionais</t>
  </si>
  <si>
    <t xml:space="preserve">Advogado</t>
  </si>
  <si>
    <t xml:space="preserve">Desenvolvimento App Android</t>
  </si>
  <si>
    <t xml:space="preserve">Desenvolvimento App IoS</t>
  </si>
  <si>
    <t xml:space="preserve">Desenvolvimento Site</t>
  </si>
  <si>
    <t xml:space="preserve">Sistema Web</t>
  </si>
  <si>
    <t xml:space="preserve">Despesas com a operação</t>
  </si>
  <si>
    <t xml:space="preserve">Despesas com salários</t>
  </si>
  <si>
    <t xml:space="preserve">Retirada dos sócios</t>
  </si>
  <si>
    <t xml:space="preserve">Comissões Vendas</t>
  </si>
  <si>
    <t xml:space="preserve">Investimento em Marketing</t>
  </si>
  <si>
    <t xml:space="preserve">Processadoras de pagamento</t>
  </si>
  <si>
    <t xml:space="preserve">Hospedagem</t>
  </si>
  <si>
    <t xml:space="preserve">Despesas com serviços</t>
  </si>
  <si>
    <t xml:space="preserve">Aluguel</t>
  </si>
  <si>
    <t xml:space="preserve">Água</t>
  </si>
  <si>
    <t xml:space="preserve">Energia Elétrica</t>
  </si>
  <si>
    <t xml:space="preserve">Despesas de depreciação</t>
  </si>
  <si>
    <t xml:space="preserve">Outras Despesas</t>
  </si>
  <si>
    <t xml:space="preserve">Demonstração do Resultado do Exercício</t>
  </si>
  <si>
    <t xml:space="preserve">Ano 01</t>
  </si>
  <si>
    <t xml:space="preserve">Ano 02</t>
  </si>
  <si>
    <t xml:space="preserve">Ano 03</t>
  </si>
  <si>
    <t xml:space="preserve">Ano 04</t>
  </si>
  <si>
    <t xml:space="preserve">Ano 05</t>
  </si>
  <si>
    <t xml:space="preserve">Receitas Brutas</t>
  </si>
  <si>
    <t xml:space="preserve">(-) Impostos</t>
  </si>
  <si>
    <t xml:space="preserve">Receitas Líquidas</t>
  </si>
  <si>
    <t xml:space="preserve">(-)Custo das Mercadorias Vendidas</t>
  </si>
  <si>
    <t xml:space="preserve">(-) Despesas Operacionais</t>
  </si>
  <si>
    <t xml:space="preserve">Resultado antes do IR</t>
  </si>
  <si>
    <t xml:space="preserve">(-) Imposto de Renda</t>
  </si>
  <si>
    <t xml:space="preserve">Lucro/Prejuízo Líquido</t>
  </si>
  <si>
    <t xml:space="preserve">Demonstração do Fluxo de Caixa</t>
  </si>
  <si>
    <t xml:space="preserve">Entradas</t>
  </si>
  <si>
    <t xml:space="preserve">(-) Saídas</t>
  </si>
  <si>
    <t xml:space="preserve">(+) Depreciação</t>
  </si>
  <si>
    <t xml:space="preserve">Fluxo de Caixa</t>
  </si>
  <si>
    <t xml:space="preserve">Taxa Interna de Retorno Estimada:</t>
  </si>
  <si>
    <t xml:space="preserve">ao ano</t>
  </si>
  <si>
    <t xml:space="preserve">Necessidade de Investimento</t>
  </si>
  <si>
    <t xml:space="preserve">Ano 0</t>
  </si>
  <si>
    <t xml:space="preserve">Ano 1</t>
  </si>
  <si>
    <t xml:space="preserve">Ano 2</t>
  </si>
  <si>
    <t xml:space="preserve">Ano 3</t>
  </si>
  <si>
    <t xml:space="preserve">Ano 4</t>
  </si>
  <si>
    <t xml:space="preserve">Ano 5</t>
  </si>
  <si>
    <t xml:space="preserve">EcoTracker — Modelo de Negócio e Premissas da Análise Financeira</t>
  </si>
  <si>
    <t xml:space="preserve">Usuário</t>
  </si>
  <si>
    <t xml:space="preserve">Cidadão urbano que monitora pegada de carbono, qualidade do ar e hábitos sustentáveis pelo app Android (gratuito, com gamificação e Eco-Pontos).</t>
  </si>
  <si>
    <t xml:space="preserve">Pagador</t>
  </si>
  <si>
    <t xml:space="preserve">Três pagadores distintos do usuário gratuito: (1) o próprio usuário quando migra para o plano Premium; (2) empresas que licenciam a API EcoTracker Compliance para gestão ESG; (3) marcas patrocinadoras e projetos de compensação de carbono.</t>
  </si>
  <si>
    <t xml:space="preserve">Proposta de valor</t>
  </si>
  <si>
    <t xml:space="preserve">Para o cidadão: medir e reduzir o próprio impacto ambiental com dados reais de qualidade do ar e recompensas. Para a empresa: relatórios e trilha de auditoria ESG prontos, via API REST, sem construir sistema próprio.</t>
  </si>
  <si>
    <t xml:space="preserve">Core do negócio</t>
  </si>
  <si>
    <t xml:space="preserve">A plataforma de dados ambientais (API .NET 8 + base de emissões, licenças, auditorias e alertas). O app é o canal de aquisição; o core que gera margem é o dado e a automação do compliance.</t>
  </si>
  <si>
    <t xml:space="preserve">Monetização</t>
  </si>
  <si>
    <t xml:space="preserve">Freemium: app gratuito → Assinatura Premium R$ 7,90/mês; Licença B2B R$ 890/mês por empresa; Patrocínio de conteúdo R$ 2.500/mês por marca; Comissão média de R$ 25 por transação de compensação de carbono.</t>
  </si>
  <si>
    <t xml:space="preserve">Atividades que roubam escala</t>
  </si>
  <si>
    <t xml:space="preserve">Onboarding manual de clientes B2B, suporte 1:1, produção artesanal de conteúdo patrocinado e integrações sob medida. Mitigação: autosserviço via Swagger/documentação, base de conhecimento, templates de relatório e planos padronizados.</t>
  </si>
  <si>
    <t xml:space="preserve">Parceiros</t>
  </si>
  <si>
    <t xml:space="preserve">OpenWeatherMap (dados de qualidade do ar), provedor de nuvem (créditos para startups), processadora de pagamentos/Google Play, consultorias ESG e certificadoras de projetos de carbono como canal B2B.</t>
  </si>
  <si>
    <t xml:space="preserve">Evolução das receitas</t>
  </si>
  <si>
    <t xml:space="preserve">Ano 1: validação com Premium + primeiros contratos B2B. Anos 2-3: escala do B2B (+100% e +65% de vendas), marketplace de compensação e novos módulos (Scope 3, dashboards). Anos 4-5: maturidade, crescimento de 25% e 5% com base instalada e reajuste de preços.</t>
  </si>
  <si>
    <t xml:space="preserve">Premissas dos números</t>
  </si>
  <si>
    <t xml:space="preserve">Volumes do Ano 1</t>
  </si>
  <si>
    <t xml:space="preserve">Premium partindo do mês 3 e chegando a 2.300 assinantes ativos no mês 12 (conversão de ~7% sobre a base gratuita projetada); B2B a partir do mês 6, chegando a 6 contas; 3 patrocinadores no fim do ano; 1.000 transações de compensação no ano.</t>
  </si>
  <si>
    <t xml:space="preserve">Custos diretos</t>
  </si>
  <si>
    <t xml:space="preserve">R$ 1,10 por assinante/mês (nuvem + APIs), R$ 120 por licença B2B/mês (infra dedicada e suporte), R$ 300 por patrocínio (produção de conteúdo) e R$ 15 por transação de compensação (repasse ao certificador).</t>
  </si>
  <si>
    <t xml:space="preserve">Investimento inicial</t>
  </si>
  <si>
    <t xml:space="preserve">R$ 143.800 — desenvolvimento do app Android, app iOS, site e sistema web/API, equipamentos, móveis, abertura da empresa e assessoria jurídica (contratos e LGPD).</t>
  </si>
  <si>
    <t xml:space="preserve">Despesas operacionais</t>
  </si>
  <si>
    <t xml:space="preserve">Equipe enxuta (R$ 8 mil/mês no 1º semestre e R$ 12 mil/mês no 2º), pró-labore de R$ 2,5 mil/mês, marketing crescente de R$ 2 mil a R$ 5 mil/mês, nuvem, contabilidade, coworking a partir do mês 7 e depreciação de R$ 3 mil/ano.</t>
  </si>
  <si>
    <t xml:space="preserve">Tributação</t>
  </si>
  <si>
    <t xml:space="preserve">Simples Nacional — 5% sobre a receita bruta de serviços e 25% de IR sobre o lucro, conforme o template.</t>
  </si>
  <si>
    <t xml:space="preserve">Resultado</t>
  </si>
  <si>
    <t xml:space="preserve">Prejuízo nos Anos 1 e 2 (investimento em aquisição), lucro a partir do Ano 3, payback do investimento no Ano 4 e TIR estimada de ~20,6% ao ano em 5 anos.</t>
  </si>
  <si>
    <t xml:space="preserve">Observação</t>
  </si>
  <si>
    <t xml:space="preserve">Projeção elaborada com premissas estimadas pela equipe a partir da pesquisa com 67 respondentes (59% pagariam por um plano premium) e de preços praticados no mercado; não representa resultados realizados.</t>
  </si>
</sst>
</file>

<file path=xl/styles.xml><?xml version="1.0" encoding="utf-8"?>
<styleSheet xmlns="http://schemas.openxmlformats.org/spreadsheetml/2006/main">
  <numFmts count="11">
    <numFmt numFmtId="164" formatCode="General"/>
    <numFmt numFmtId="165" formatCode="0%"/>
    <numFmt numFmtId="166" formatCode="&quot;R$ &quot;#,##0.00;[RED]&quot;-R$ &quot;#,##0.00"/>
    <numFmt numFmtId="167" formatCode="General"/>
    <numFmt numFmtId="168" formatCode="#,##0.00_);[RED]\(#,##0.00\)"/>
    <numFmt numFmtId="169" formatCode="_(* #,##0.00_);_(* \(#,##0.00\);_(* \-??_);_(@_)"/>
    <numFmt numFmtId="170" formatCode="_-* #,##0_-;\-* #,##0_-;_-* \-??_-;_-@_-"/>
    <numFmt numFmtId="171" formatCode="&quot;R$ &quot;#,##0;[RED]&quot;-R$ &quot;#,##0"/>
    <numFmt numFmtId="172" formatCode="0.0%"/>
    <numFmt numFmtId="173" formatCode="0.00%"/>
    <numFmt numFmtId="174" formatCode="&quot;R$&quot;#,##0_);[RED]&quot;(R$&quot;#,##0\)"/>
  </numFmts>
  <fonts count="18">
    <font>
      <sz val="10"/>
      <name val="Arial"/>
      <family val="0"/>
      <charset val="1"/>
    </font>
    <font>
      <sz val="10"/>
      <name val="Arial"/>
      <family val="0"/>
    </font>
    <font>
      <sz val="10"/>
      <name val="Arial"/>
      <family val="0"/>
    </font>
    <font>
      <sz val="10"/>
      <name val="Arial"/>
      <family val="0"/>
    </font>
    <font>
      <b val="true"/>
      <sz val="10"/>
      <color rgb="FFFFFFFF"/>
      <name val="Arial"/>
      <family val="2"/>
      <charset val="1"/>
    </font>
    <font>
      <b val="true"/>
      <sz val="10"/>
      <name val="Arial"/>
      <family val="2"/>
      <charset val="1"/>
    </font>
    <font>
      <sz val="20"/>
      <color rgb="FFFF6600"/>
      <name val="Arial"/>
      <family val="2"/>
      <charset val="1"/>
    </font>
    <font>
      <sz val="10"/>
      <name val="Arial"/>
      <family val="2"/>
      <charset val="1"/>
    </font>
    <font>
      <sz val="8"/>
      <name val="Arial"/>
      <family val="2"/>
      <charset val="1"/>
    </font>
    <font>
      <b val="true"/>
      <sz val="12"/>
      <name val="Arial"/>
      <family val="2"/>
      <charset val="1"/>
    </font>
    <font>
      <sz val="8"/>
      <color rgb="FF000000"/>
      <name val="Arial"/>
      <family val="2"/>
      <charset val="1"/>
    </font>
    <font>
      <b val="true"/>
      <sz val="8"/>
      <name val="Arial"/>
      <family val="2"/>
      <charset val="1"/>
    </font>
    <font>
      <sz val="10"/>
      <color rgb="FFFFFFFF"/>
      <name val="Arial"/>
      <family val="2"/>
      <charset val="1"/>
    </font>
    <font>
      <sz val="14"/>
      <color rgb="FF595959"/>
      <name val="Calibri"/>
      <family val="2"/>
    </font>
    <font>
      <sz val="9"/>
      <color rgb="FF595959"/>
      <name val="Calibri"/>
      <family val="2"/>
    </font>
    <font>
      <b val="true"/>
      <sz val="13"/>
      <name val="Cambria"/>
      <family val="0"/>
      <charset val="1"/>
    </font>
    <font>
      <sz val="10"/>
      <name val="Cambria"/>
      <family val="0"/>
      <charset val="1"/>
    </font>
    <font>
      <b val="true"/>
      <sz val="10"/>
      <name val="Cambria"/>
      <family val="0"/>
      <charset val="1"/>
    </font>
  </fonts>
  <fills count="8">
    <fill>
      <patternFill patternType="none"/>
    </fill>
    <fill>
      <patternFill patternType="gray125"/>
    </fill>
    <fill>
      <patternFill patternType="solid">
        <fgColor rgb="FFC00000"/>
        <bgColor rgb="FF800000"/>
      </patternFill>
    </fill>
    <fill>
      <patternFill patternType="solid">
        <fgColor rgb="FF00FF00"/>
        <bgColor rgb="FF1FB714"/>
      </patternFill>
    </fill>
    <fill>
      <patternFill patternType="solid">
        <fgColor rgb="FFFF6600"/>
        <bgColor rgb="FFFF9900"/>
      </patternFill>
    </fill>
    <fill>
      <patternFill patternType="solid">
        <fgColor rgb="FFFFCC00"/>
        <bgColor rgb="FFFFFF00"/>
      </patternFill>
    </fill>
    <fill>
      <patternFill patternType="solid">
        <fgColor rgb="FF1FB714"/>
        <bgColor rgb="FF0080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9" fontId="7"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7" fillId="0" borderId="0" applyFont="true" applyBorder="true" applyAlignment="true" applyProtection="true">
      <alignment horizontal="general" vertical="bottom" textRotation="0" wrapText="false" indent="0" shrinkToFit="false"/>
      <protection locked="true" hidden="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justify"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0" fillId="3" borderId="0" xfId="19"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6" fontId="8" fillId="5" borderId="0" xfId="0" applyFont="true" applyBorder="false" applyAlignment="false" applyProtection="false">
      <alignment horizontal="general" vertical="bottom" textRotation="0" wrapText="false" indent="0" shrinkToFit="false"/>
      <protection locked="true" hidden="false"/>
    </xf>
    <xf numFmtId="166" fontId="8" fillId="5" borderId="0" xfId="0" applyFont="true" applyBorder="false" applyAlignment="true" applyProtection="false">
      <alignment horizontal="right"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0" fontId="11" fillId="4" borderId="0" xfId="15" applyFont="true" applyBorder="false" applyAlignment="false" applyProtection="false">
      <alignment horizontal="general" vertical="bottom" textRotation="0" wrapText="false" indent="0" shrinkToFit="false"/>
      <protection locked="true" hidden="false"/>
    </xf>
    <xf numFmtId="170" fontId="11" fillId="4" borderId="0" xfId="15" applyFont="true" applyBorder="false" applyAlignment="true" applyProtection="false">
      <alignment horizontal="right" vertical="bottom" textRotation="0" wrapText="true" indent="0" shrinkToFit="false"/>
      <protection locked="true" hidden="false"/>
    </xf>
    <xf numFmtId="170" fontId="8" fillId="0" borderId="0" xfId="15"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8" fillId="5" borderId="0" xfId="0" applyFont="true" applyBorder="false" applyAlignment="false" applyProtection="false">
      <alignment horizontal="general" vertical="bottom" textRotation="0" wrapText="false" indent="0" shrinkToFit="false"/>
      <protection locked="true" hidden="false"/>
    </xf>
    <xf numFmtId="166" fontId="8" fillId="6"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right"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71" fontId="7" fillId="7"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left" vertical="bottom" textRotation="0" wrapText="false" indent="0" shrinkToFit="false"/>
      <protection locked="true" hidden="false"/>
    </xf>
    <xf numFmtId="172" fontId="7" fillId="5" borderId="0" xfId="0" applyFont="true" applyBorder="false" applyAlignment="false" applyProtection="false">
      <alignment horizontal="general" vertical="bottom" textRotation="0" wrapText="false" indent="0" shrinkToFit="false"/>
      <protection locked="true" hidden="false"/>
    </xf>
    <xf numFmtId="173" fontId="7" fillId="0" borderId="0" xfId="19"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4F81BD"/>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1FB71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pt-BR" sz="1400" spc="-1" strike="noStrike">
                <a:solidFill>
                  <a:srgbClr val="595959"/>
                </a:solidFill>
                <a:latin typeface="Calibri"/>
              </a:defRPr>
            </a:pPr>
            <a:r>
              <a:rPr b="0" lang="pt-BR" sz="1400" spc="-1" strike="noStrike">
                <a:solidFill>
                  <a:srgbClr val="595959"/>
                </a:solidFill>
                <a:latin typeface="Calibri"/>
              </a:rPr>
              <a:t>Demonstração do Resultado</a:t>
            </a:r>
          </a:p>
        </c:rich>
      </c:tx>
      <c:overlay val="0"/>
      <c:spPr>
        <a:noFill/>
        <a:ln w="0">
          <a:noFill/>
        </a:ln>
      </c:spPr>
    </c:title>
    <c:autoTitleDeleted val="0"/>
    <c:plotArea>
      <c:scatterChart>
        <c:scatterStyle val="lineMarker"/>
        <c:varyColors val="0"/>
        <c:ser>
          <c:idx val="0"/>
          <c:order val="0"/>
          <c:tx>
            <c:strRef>
              <c:f>'Resumo-Planejamento Financeiro'!$A$16</c:f>
              <c:strCache>
                <c:ptCount val="1"/>
                <c:pt idx="0">
                  <c:v>Entradas</c:v>
                </c:pt>
              </c:strCache>
            </c:strRef>
          </c:tx>
          <c:spPr>
            <a:solidFill>
              <a:srgbClr val="4f81bd"/>
            </a:solidFill>
            <a:ln cap="rnd" w="1908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'Resumo-Planejamento Financeiro'!$B$15:$F$15</c:f>
              <c:numCache>
                <c:formatCode>General</c:formatCode>
                <c:ptCount val="5"/>
              </c:numCache>
            </c:numRef>
          </c:xVal>
          <c:yVal>
            <c:numRef>
              <c:f>'Resumo-Planejamento Financeiro'!$B$16:$F$16</c:f>
              <c:numCache>
                <c:formatCode>General</c:formatCode>
                <c:ptCount val="5"/>
                <c:pt idx="0">
                  <c:v>171898</c:v>
                </c:pt>
                <c:pt idx="1">
                  <c:v>343796</c:v>
                </c:pt>
                <c:pt idx="2">
                  <c:v>567263.4</c:v>
                </c:pt>
                <c:pt idx="3">
                  <c:v>709079.25</c:v>
                </c:pt>
                <c:pt idx="4">
                  <c:v>744533.2125</c:v>
                </c:pt>
              </c:numCache>
            </c:numRef>
          </c:yVal>
          <c:smooth val="0"/>
        </c:ser>
        <c:ser>
          <c:idx val="1"/>
          <c:order val="1"/>
          <c:tx>
            <c:strRef>
              <c:f>'Resumo-Planejamento Financeiro'!$A$17</c:f>
              <c:strCache>
                <c:ptCount val="1"/>
                <c:pt idx="0">
                  <c:v>(-) Saídas</c:v>
                </c:pt>
              </c:strCache>
            </c:strRef>
          </c:tx>
          <c:spPr>
            <a:solidFill>
              <a:srgbClr val="c0504d"/>
            </a:solidFill>
            <a:ln cap="rnd" w="1908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'Resumo-Planejamento Financeiro'!$B$15:$F$15</c:f>
              <c:numCache>
                <c:formatCode>General</c:formatCode>
                <c:ptCount val="5"/>
              </c:numCache>
            </c:numRef>
          </c:xVal>
          <c:yVal>
            <c:numRef>
              <c:f>'Resumo-Planejamento Financeiro'!$B$17:$F$17</c:f>
              <c:numCache>
                <c:formatCode>General</c:formatCode>
                <c:ptCount val="5"/>
                <c:pt idx="0">
                  <c:v>422736.9</c:v>
                </c:pt>
                <c:pt idx="1">
                  <c:v>362079.02</c:v>
                </c:pt>
                <c:pt idx="2">
                  <c:v>459406.26315</c:v>
                </c:pt>
                <c:pt idx="3">
                  <c:v>516907.1679465</c:v>
                </c:pt>
                <c:pt idx="4">
                  <c:v>530993.027558115</c:v>
                </c:pt>
              </c:numCache>
            </c:numRef>
          </c:yVal>
          <c:smooth val="0"/>
        </c:ser>
        <c:axId val="21241259"/>
        <c:axId val="87772217"/>
      </c:scatterChart>
      <c:valAx>
        <c:axId val="21241259"/>
        <c:scaling>
          <c:orientation val="minMax"/>
        </c:scaling>
        <c:delete val="0"/>
        <c:axPos val="b"/>
        <c:majorGridlines>
          <c:spPr>
            <a:ln w="9360">
              <a:solidFill>
                <a:srgbClr val="d9d9d9"/>
              </a:solidFill>
              <a:round/>
            </a:ln>
          </c:spPr>
        </c:majorGridlines>
        <c:numFmt formatCode="General" sourceLinked="1"/>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7772217"/>
        <c:crosses val="autoZero"/>
        <c:crossBetween val="midCat"/>
      </c:valAx>
      <c:valAx>
        <c:axId val="87772217"/>
        <c:scaling>
          <c:orientation val="minMax"/>
        </c:scaling>
        <c:delete val="0"/>
        <c:axPos val="l"/>
        <c:majorGridlines>
          <c:spPr>
            <a:ln w="9360">
              <a:solidFill>
                <a:srgbClr val="d9d9d9"/>
              </a:solidFill>
              <a:round/>
            </a:ln>
          </c:spPr>
        </c:majorGridlines>
        <c:numFmt formatCode="&quot;R$&quot;#,##0_);[RED]&quot;(R$&quot;#,##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1241259"/>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324000</xdr:colOff>
      <xdr:row>1</xdr:row>
      <xdr:rowOff>142920</xdr:rowOff>
    </xdr:from>
    <xdr:to>
      <xdr:col>13</xdr:col>
      <xdr:colOff>361800</xdr:colOff>
      <xdr:row>18</xdr:row>
      <xdr:rowOff>56880</xdr:rowOff>
    </xdr:to>
    <xdr:graphicFrame>
      <xdr:nvGraphicFramePr>
        <xdr:cNvPr id="0" name="Chart 1"/>
        <xdr:cNvGraphicFramePr/>
      </xdr:nvGraphicFramePr>
      <xdr:xfrm>
        <a:off x="7321680" y="343080"/>
        <a:ext cx="470448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2.75" zeroHeight="false" outlineLevelRow="0" outlineLevelCol="0"/>
  <cols>
    <col collapsed="false" customWidth="true" hidden="false" outlineLevel="0" max="1" min="1" style="0" width="10.84"/>
    <col collapsed="false" customWidth="true" hidden="false" outlineLevel="0" max="3" min="3" style="0" width="23.5"/>
    <col collapsed="false" customWidth="true" hidden="false" outlineLevel="0" max="6" min="6" style="0" width="16.83"/>
    <col collapsed="false" customWidth="true" hidden="false" outlineLevel="0" max="7" min="7" style="0" width="9"/>
  </cols>
  <sheetData>
    <row r="1" customFormat="false" ht="12.75" hidden="false" customHeight="true" outlineLevel="0" collapsed="false">
      <c r="A1" s="1" t="s">
        <v>0</v>
      </c>
      <c r="B1" s="1"/>
      <c r="C1" s="1"/>
      <c r="D1" s="1"/>
      <c r="E1" s="1"/>
      <c r="F1" s="1"/>
    </row>
    <row r="2" customFormat="false" ht="12.75" hidden="false" customHeight="false" outlineLevel="0" collapsed="false">
      <c r="A2" s="1"/>
      <c r="B2" s="1"/>
      <c r="C2" s="1"/>
      <c r="D2" s="1"/>
      <c r="E2" s="1"/>
      <c r="F2" s="1"/>
    </row>
    <row r="3" customFormat="false" ht="12.75" hidden="false" customHeight="false" outlineLevel="0" collapsed="false">
      <c r="A3" s="1"/>
      <c r="B3" s="1"/>
      <c r="C3" s="1"/>
      <c r="D3" s="1"/>
      <c r="E3" s="1"/>
      <c r="F3" s="1"/>
    </row>
    <row r="4" customFormat="false" ht="12.75" hidden="false" customHeight="false" outlineLevel="0" collapsed="false">
      <c r="A4" s="1"/>
      <c r="B4" s="1"/>
      <c r="C4" s="1"/>
      <c r="D4" s="1"/>
      <c r="E4" s="1"/>
      <c r="F4" s="1"/>
    </row>
    <row r="5" customFormat="false" ht="12.75" hidden="false" customHeight="false" outlineLevel="0" collapsed="false">
      <c r="A5" s="1"/>
      <c r="B5" s="1"/>
      <c r="C5" s="1"/>
      <c r="D5" s="1"/>
      <c r="E5" s="1"/>
      <c r="F5" s="1"/>
    </row>
    <row r="6" customFormat="false" ht="12.75" hidden="false" customHeight="false" outlineLevel="0" collapsed="false">
      <c r="A6" s="1"/>
      <c r="B6" s="1"/>
      <c r="C6" s="1"/>
      <c r="D6" s="1"/>
      <c r="E6" s="1"/>
      <c r="F6" s="1"/>
    </row>
    <row r="7" customFormat="false" ht="12.75" hidden="false" customHeight="false" outlineLevel="0" collapsed="false">
      <c r="A7" s="1"/>
      <c r="B7" s="1"/>
      <c r="C7" s="1"/>
      <c r="D7" s="1"/>
      <c r="E7" s="1"/>
      <c r="F7" s="1"/>
    </row>
    <row r="9" customFormat="false" ht="12.75" hidden="false" customHeight="false" outlineLevel="0" collapsed="false">
      <c r="A9" s="2" t="s">
        <v>1</v>
      </c>
      <c r="B9" s="0" t="s">
        <v>2</v>
      </c>
      <c r="C9" s="3"/>
      <c r="D9" s="3"/>
      <c r="E9" s="3"/>
      <c r="F9" s="3"/>
    </row>
    <row r="10" customFormat="false" ht="12.75" hidden="false" customHeight="false" outlineLevel="0" collapsed="false">
      <c r="A10" s="2" t="s">
        <v>3</v>
      </c>
      <c r="B10" s="4" t="n">
        <v>2</v>
      </c>
      <c r="C10" s="0" t="s">
        <v>4</v>
      </c>
    </row>
    <row r="11" customFormat="false" ht="12.75" hidden="false" customHeight="false" outlineLevel="0" collapsed="false">
      <c r="B11" s="4"/>
      <c r="C11" s="0" t="s">
        <v>5</v>
      </c>
    </row>
    <row r="12" customFormat="false" ht="12.75" hidden="false" customHeight="false" outlineLevel="0" collapsed="false">
      <c r="B12" s="4"/>
      <c r="C12" s="0" t="s">
        <v>6</v>
      </c>
    </row>
    <row r="15" customFormat="false" ht="12.75" hidden="false" customHeight="false" outlineLevel="0" collapsed="false">
      <c r="A15" s="2" t="str">
        <f aca="false">IF(B10=2,"Nomes dos serviços que sua empresa irá vender","Nome dos produtos que sua empresa irá vender")</f>
        <v>Nomes dos serviços que sua empresa irá vender</v>
      </c>
      <c r="B15" s="2"/>
      <c r="C15" s="2"/>
    </row>
    <row r="16" customFormat="false" ht="12.75" hidden="false" customHeight="false" outlineLevel="0" collapsed="false">
      <c r="A16" s="0" t="str">
        <f aca="false">IF(B$10=2,"Serviço","Produto")</f>
        <v>Serviço</v>
      </c>
      <c r="B16" s="5" t="n">
        <v>1</v>
      </c>
      <c r="C16" s="6" t="s">
        <v>7</v>
      </c>
    </row>
    <row r="17" customFormat="false" ht="12.75" hidden="false" customHeight="false" outlineLevel="0" collapsed="false">
      <c r="A17" s="0" t="str">
        <f aca="false">IF(B$10=2,"Serviço","Produto")</f>
        <v>Serviço</v>
      </c>
      <c r="B17" s="5" t="n">
        <v>2</v>
      </c>
      <c r="C17" s="3" t="s">
        <v>8</v>
      </c>
    </row>
    <row r="18" customFormat="false" ht="12.75" hidden="false" customHeight="false" outlineLevel="0" collapsed="false">
      <c r="A18" s="0" t="str">
        <f aca="false">IF(B$10=2,"Serviço","Produto")</f>
        <v>Serviço</v>
      </c>
      <c r="B18" s="5" t="n">
        <v>3</v>
      </c>
      <c r="C18" s="3" t="s">
        <v>9</v>
      </c>
    </row>
    <row r="19" customFormat="false" ht="12.75" hidden="false" customHeight="false" outlineLevel="0" collapsed="false">
      <c r="A19" s="0" t="str">
        <f aca="false">IF(B$10=2,"Serviço","Produto")</f>
        <v>Serviço</v>
      </c>
      <c r="B19" s="5" t="n">
        <v>4</v>
      </c>
      <c r="C19" s="3" t="s">
        <v>10</v>
      </c>
    </row>
    <row r="20" customFormat="false" ht="12.75" hidden="false" customHeight="false" outlineLevel="0" collapsed="false">
      <c r="A20" s="0" t="str">
        <f aca="false">IF(B$10=2,"Serviço","Produto")</f>
        <v>Serviço</v>
      </c>
      <c r="B20" s="5" t="n">
        <v>5</v>
      </c>
      <c r="C20" s="3"/>
    </row>
    <row r="21" customFormat="false" ht="12.75" hidden="false" customHeight="false" outlineLevel="0" collapsed="false">
      <c r="A21" s="0" t="str">
        <f aca="false">IF(B$10=2,"Serviço","Produto")</f>
        <v>Serviço</v>
      </c>
      <c r="B21" s="5" t="n">
        <v>6</v>
      </c>
      <c r="C21" s="3"/>
    </row>
    <row r="22" customFormat="false" ht="12.75" hidden="false" customHeight="false" outlineLevel="0" collapsed="false">
      <c r="A22" s="0" t="str">
        <f aca="false">IF(B$10=2,"Serviço","Produto")</f>
        <v>Serviço</v>
      </c>
      <c r="B22" s="5" t="n">
        <v>7</v>
      </c>
      <c r="C22" s="3"/>
    </row>
    <row r="23" customFormat="false" ht="12.75" hidden="false" customHeight="false" outlineLevel="0" collapsed="false">
      <c r="A23" s="0" t="str">
        <f aca="false">IF(B$10=2,"Serviço","Produto")</f>
        <v>Serviço</v>
      </c>
      <c r="B23" s="5" t="n">
        <v>8</v>
      </c>
      <c r="C23" s="3"/>
    </row>
    <row r="24" customFormat="false" ht="12.75" hidden="false" customHeight="false" outlineLevel="0" collapsed="false">
      <c r="A24" s="0" t="str">
        <f aca="false">IF(B$10=2,"Serviço","Produto")</f>
        <v>Serviço</v>
      </c>
      <c r="B24" s="5" t="n">
        <v>9</v>
      </c>
      <c r="C24" s="3"/>
    </row>
    <row r="25" customFormat="false" ht="12.75" hidden="false" customHeight="false" outlineLevel="0" collapsed="false">
      <c r="A25" s="0" t="str">
        <f aca="false">IF(B$10=2,"Serviço","Produto")</f>
        <v>Serviço</v>
      </c>
      <c r="B25" s="5" t="n">
        <v>10</v>
      </c>
      <c r="C25" s="3"/>
    </row>
    <row r="28" customFormat="false" ht="12.75" hidden="false" customHeight="false" outlineLevel="0" collapsed="false">
      <c r="A28" s="2" t="s">
        <v>11</v>
      </c>
    </row>
    <row r="29" customFormat="false" ht="12.75" hidden="false" customHeight="false" outlineLevel="0" collapsed="false">
      <c r="A29" s="0" t="s">
        <v>12</v>
      </c>
      <c r="D29" s="7" t="n">
        <v>1</v>
      </c>
    </row>
    <row r="30" customFormat="false" ht="12.75" hidden="false" customHeight="false" outlineLevel="0" collapsed="false">
      <c r="A30" s="0" t="s">
        <v>13</v>
      </c>
      <c r="D30" s="7" t="n">
        <v>0.65</v>
      </c>
    </row>
    <row r="31" customFormat="false" ht="12.75" hidden="false" customHeight="false" outlineLevel="0" collapsed="false">
      <c r="A31" s="0" t="s">
        <v>14</v>
      </c>
      <c r="D31" s="7" t="n">
        <v>0.25</v>
      </c>
    </row>
    <row r="32" customFormat="false" ht="12.75" hidden="false" customHeight="false" outlineLevel="0" collapsed="false">
      <c r="A32" s="0" t="s">
        <v>15</v>
      </c>
      <c r="D32" s="7" t="n">
        <v>0.05</v>
      </c>
    </row>
    <row r="35" customFormat="false" ht="12.75" hidden="false" customHeight="false" outlineLevel="0" collapsed="false">
      <c r="A35" s="2" t="s">
        <v>16</v>
      </c>
    </row>
    <row r="36" customFormat="false" ht="12.75" hidden="false" customHeight="false" outlineLevel="0" collapsed="false">
      <c r="A36" s="0" t="s">
        <v>17</v>
      </c>
      <c r="D36" s="7" t="n">
        <v>0.3</v>
      </c>
    </row>
    <row r="37" customFormat="false" ht="12.75" hidden="false" customHeight="false" outlineLevel="0" collapsed="false">
      <c r="A37" s="0" t="s">
        <v>18</v>
      </c>
      <c r="D37" s="7" t="n">
        <v>0.15</v>
      </c>
    </row>
    <row r="38" customFormat="false" ht="12.75" hidden="false" customHeight="false" outlineLevel="0" collapsed="false">
      <c r="A38" s="0" t="s">
        <v>19</v>
      </c>
      <c r="D38" s="7" t="n">
        <v>0.05</v>
      </c>
    </row>
    <row r="39" customFormat="false" ht="12.75" hidden="false" customHeight="false" outlineLevel="0" collapsed="false">
      <c r="A39" s="0" t="s">
        <v>20</v>
      </c>
      <c r="D39" s="7" t="n">
        <v>0</v>
      </c>
    </row>
    <row r="42" customFormat="false" ht="12.75" hidden="false" customHeight="false" outlineLevel="0" collapsed="false">
      <c r="A42" s="2" t="s">
        <v>21</v>
      </c>
    </row>
    <row r="43" customFormat="false" ht="12.75" hidden="false" customHeight="false" outlineLevel="0" collapsed="false">
      <c r="A43" s="0" t="s">
        <v>17</v>
      </c>
      <c r="D43" s="7" t="n">
        <v>0.11</v>
      </c>
    </row>
    <row r="44" customFormat="false" ht="12.75" hidden="false" customHeight="false" outlineLevel="0" collapsed="false">
      <c r="A44" s="0" t="s">
        <v>18</v>
      </c>
      <c r="D44" s="7" t="n">
        <v>0.11</v>
      </c>
    </row>
    <row r="45" customFormat="false" ht="12.75" hidden="false" customHeight="false" outlineLevel="0" collapsed="false">
      <c r="A45" s="0" t="s">
        <v>19</v>
      </c>
      <c r="D45" s="7" t="n">
        <v>0.11</v>
      </c>
    </row>
    <row r="46" customFormat="false" ht="12.75" hidden="false" customHeight="false" outlineLevel="0" collapsed="false">
      <c r="A46" s="0" t="s">
        <v>20</v>
      </c>
      <c r="D46" s="7" t="n">
        <v>0.11</v>
      </c>
    </row>
  </sheetData>
  <mergeCells count="2">
    <mergeCell ref="A1:F7"/>
    <mergeCell ref="B10:B12"/>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0.5" zeroHeight="false" outlineLevelRow="0" outlineLevelCol="0"/>
  <cols>
    <col collapsed="false" customWidth="true" hidden="false" outlineLevel="0" max="1" min="1" style="8" width="27.16"/>
    <col collapsed="false" customWidth="true" hidden="false" outlineLevel="0" max="13" min="2" style="8" width="10.99"/>
    <col collapsed="false" customWidth="true" hidden="false" outlineLevel="0" max="14" min="14" style="9" width="15.49"/>
    <col collapsed="false" customWidth="false" hidden="false" outlineLevel="0" max="1024" min="15" style="8" width="8.83"/>
  </cols>
  <sheetData>
    <row r="1" customFormat="false" ht="15.75" hidden="false" customHeight="true" outlineLevel="0" collapsed="false">
      <c r="A1" s="10" t="s">
        <v>22</v>
      </c>
    </row>
    <row r="3" customFormat="false" ht="10.5" hidden="false" customHeight="false" outlineLevel="0" collapsed="false">
      <c r="A3" s="11" t="s">
        <v>23</v>
      </c>
    </row>
    <row r="4" customFormat="false" ht="10.5" hidden="false" customHeight="false" outlineLevel="0" collapsed="false">
      <c r="A4" s="12" t="s">
        <v>24</v>
      </c>
      <c r="B4" s="12" t="n">
        <v>1</v>
      </c>
      <c r="C4" s="12" t="n">
        <v>2</v>
      </c>
      <c r="D4" s="12" t="n">
        <v>3</v>
      </c>
      <c r="E4" s="12" t="n">
        <v>4</v>
      </c>
      <c r="F4" s="12" t="n">
        <v>5</v>
      </c>
      <c r="G4" s="12" t="n">
        <v>6</v>
      </c>
      <c r="H4" s="12" t="n">
        <v>7</v>
      </c>
      <c r="I4" s="12" t="n">
        <v>8</v>
      </c>
      <c r="J4" s="12" t="n">
        <v>9</v>
      </c>
      <c r="K4" s="12" t="n">
        <v>10</v>
      </c>
      <c r="L4" s="12" t="n">
        <v>11</v>
      </c>
      <c r="M4" s="12" t="n">
        <v>12</v>
      </c>
      <c r="N4" s="13" t="s">
        <v>25</v>
      </c>
    </row>
    <row r="5" customFormat="false" ht="10.5" hidden="false" customHeight="false" outlineLevel="0" collapsed="false">
      <c r="A5" s="14" t="s">
        <v>26</v>
      </c>
      <c r="B5" s="15" t="n">
        <f aca="false">B7+B11+B15+B19+B23+B27</f>
        <v>0</v>
      </c>
      <c r="C5" s="15" t="n">
        <f aca="false">C7+C11+C15+C19+C23+C27</f>
        <v>0</v>
      </c>
      <c r="D5" s="15" t="n">
        <f aca="false">D7+D11+D15+D19+D23+D27</f>
        <v>948</v>
      </c>
      <c r="E5" s="15" t="n">
        <f aca="false">E7+E11+E15+E19+E23+E27</f>
        <v>4554</v>
      </c>
      <c r="F5" s="15" t="n">
        <f aca="false">F7+F11+F15+F19+F23+F27</f>
        <v>5818</v>
      </c>
      <c r="G5" s="15" t="n">
        <f aca="false">G7+G11+G15+G19+G23+G27</f>
        <v>8130</v>
      </c>
      <c r="H5" s="15" t="n">
        <f aca="false">H7+H11+H15+H19+H23+H27</f>
        <v>13618</v>
      </c>
      <c r="I5" s="15" t="n">
        <f aca="false">I7+I11+I15+I19+I23+I27</f>
        <v>17075</v>
      </c>
      <c r="J5" s="15" t="n">
        <f aca="false">J7+J11+J15+J19+J23+J27</f>
        <v>20940</v>
      </c>
      <c r="K5" s="15" t="n">
        <f aca="false">K7+K11+K15+K19+K23+K27</f>
        <v>28200</v>
      </c>
      <c r="L5" s="15" t="n">
        <f aca="false">L7+L11+L15+L19+L23+L27</f>
        <v>33605</v>
      </c>
      <c r="M5" s="15" t="n">
        <f aca="false">M7+M11+M15+M19+M23+M27</f>
        <v>39010</v>
      </c>
      <c r="N5" s="16" t="n">
        <f aca="false">SUM(B5:M5)</f>
        <v>171898</v>
      </c>
    </row>
    <row r="7" customFormat="false" ht="10.5" hidden="false" customHeight="false" outlineLevel="0" collapsed="false">
      <c r="A7" s="17" t="str">
        <f aca="false">"Vendas de "&amp;InformacoesBasicas!C16</f>
        <v>Vendas de Assinatura Premium (usuário final)</v>
      </c>
      <c r="B7" s="18" t="n">
        <f aca="false">B8*B9</f>
        <v>0</v>
      </c>
      <c r="C7" s="18" t="n">
        <f aca="false">C8*C9</f>
        <v>0</v>
      </c>
      <c r="D7" s="18" t="n">
        <f aca="false">D8*D9</f>
        <v>948</v>
      </c>
      <c r="E7" s="18" t="n">
        <f aca="false">E8*E9</f>
        <v>2054</v>
      </c>
      <c r="F7" s="18" t="n">
        <f aca="false">F8*F9</f>
        <v>3318</v>
      </c>
      <c r="G7" s="18" t="n">
        <f aca="false">G8*G9</f>
        <v>4740</v>
      </c>
      <c r="H7" s="18" t="n">
        <f aca="false">H8*H9</f>
        <v>6478</v>
      </c>
      <c r="I7" s="18" t="n">
        <f aca="false">I8*I9</f>
        <v>8295</v>
      </c>
      <c r="J7" s="18" t="n">
        <f aca="false">J8*J9</f>
        <v>10270</v>
      </c>
      <c r="K7" s="18" t="n">
        <f aca="false">K8*K9</f>
        <v>12640</v>
      </c>
      <c r="L7" s="18" t="n">
        <f aca="false">L8*L9</f>
        <v>15405</v>
      </c>
      <c r="M7" s="18" t="n">
        <f aca="false">M8*M9</f>
        <v>18170</v>
      </c>
      <c r="N7" s="19" t="n">
        <f aca="false">SUM(B7:M7)</f>
        <v>82318</v>
      </c>
    </row>
    <row r="8" customFormat="false" ht="10.5" hidden="false" customHeight="false" outlineLevel="0" collapsed="false">
      <c r="A8" s="8" t="s">
        <v>27</v>
      </c>
      <c r="B8" s="20" t="n">
        <v>0</v>
      </c>
      <c r="C8" s="20" t="n">
        <v>0</v>
      </c>
      <c r="D8" s="20" t="n">
        <v>120</v>
      </c>
      <c r="E8" s="20" t="n">
        <v>260</v>
      </c>
      <c r="F8" s="20" t="n">
        <v>420</v>
      </c>
      <c r="G8" s="20" t="n">
        <v>600</v>
      </c>
      <c r="H8" s="20" t="n">
        <v>820</v>
      </c>
      <c r="I8" s="20" t="n">
        <v>1050</v>
      </c>
      <c r="J8" s="20" t="n">
        <v>1300</v>
      </c>
      <c r="K8" s="20" t="n">
        <v>1600</v>
      </c>
      <c r="L8" s="20" t="n">
        <v>1950</v>
      </c>
      <c r="M8" s="20" t="n">
        <v>2300</v>
      </c>
      <c r="N8" s="9" t="n">
        <f aca="false">SUM(B8:M8)</f>
        <v>10420</v>
      </c>
    </row>
    <row r="9" customFormat="false" ht="10.5" hidden="false" customHeight="false" outlineLevel="0" collapsed="false">
      <c r="A9" s="8" t="str">
        <f aca="false">"Preço de "&amp;InformacoesBasicas!C16</f>
        <v>Preço de Assinatura Premium (usuário final)</v>
      </c>
      <c r="B9" s="21" t="n">
        <v>7.9</v>
      </c>
      <c r="C9" s="21" t="n">
        <v>7.9</v>
      </c>
      <c r="D9" s="21" t="n">
        <v>7.9</v>
      </c>
      <c r="E9" s="21" t="n">
        <v>7.9</v>
      </c>
      <c r="F9" s="21" t="n">
        <v>7.9</v>
      </c>
      <c r="G9" s="21" t="n">
        <v>7.9</v>
      </c>
      <c r="H9" s="21" t="n">
        <v>7.9</v>
      </c>
      <c r="I9" s="21" t="n">
        <v>7.9</v>
      </c>
      <c r="J9" s="21" t="n">
        <v>7.9</v>
      </c>
      <c r="K9" s="21" t="n">
        <v>7.9</v>
      </c>
      <c r="L9" s="21" t="n">
        <v>7.9</v>
      </c>
      <c r="M9" s="21" t="n">
        <v>7.9</v>
      </c>
      <c r="N9" s="22" t="n">
        <f aca="false">SUM(B9:M9)</f>
        <v>94.8</v>
      </c>
    </row>
    <row r="11" customFormat="false" ht="10.5" hidden="false" customHeight="false" outlineLevel="0" collapsed="false">
      <c r="A11" s="17" t="str">
        <f aca="false">"Vendas de "&amp;InformacoesBasicas!C17</f>
        <v>Vendas de Licença B2B EcoTracker Compliance</v>
      </c>
      <c r="B11" s="18" t="n">
        <f aca="false">B12*B13</f>
        <v>0</v>
      </c>
      <c r="C11" s="18" t="n">
        <f aca="false">C12*C13</f>
        <v>0</v>
      </c>
      <c r="D11" s="18" t="n">
        <f aca="false">D12*D13</f>
        <v>0</v>
      </c>
      <c r="E11" s="18" t="n">
        <f aca="false">E12*E13</f>
        <v>0</v>
      </c>
      <c r="F11" s="18" t="n">
        <f aca="false">F12*F13</f>
        <v>0</v>
      </c>
      <c r="G11" s="18" t="n">
        <f aca="false">G12*G13</f>
        <v>890</v>
      </c>
      <c r="H11" s="18" t="n">
        <f aca="false">H12*H13</f>
        <v>890</v>
      </c>
      <c r="I11" s="18" t="n">
        <f aca="false">I12*I13</f>
        <v>1780</v>
      </c>
      <c r="J11" s="18" t="n">
        <f aca="false">J12*J13</f>
        <v>2670</v>
      </c>
      <c r="K11" s="18" t="n">
        <f aca="false">K12*K13</f>
        <v>3560</v>
      </c>
      <c r="L11" s="18" t="n">
        <f aca="false">L12*L13</f>
        <v>4450</v>
      </c>
      <c r="M11" s="18" t="n">
        <f aca="false">M12*M13</f>
        <v>5340</v>
      </c>
      <c r="N11" s="19" t="n">
        <f aca="false">SUM(B11:M11)</f>
        <v>19580</v>
      </c>
    </row>
    <row r="12" customFormat="false" ht="10.5" hidden="false" customHeight="false" outlineLevel="0" collapsed="false">
      <c r="A12" s="8" t="s">
        <v>27</v>
      </c>
      <c r="B12" s="20" t="n">
        <v>0</v>
      </c>
      <c r="C12" s="20" t="n">
        <v>0</v>
      </c>
      <c r="D12" s="20" t="n">
        <v>0</v>
      </c>
      <c r="E12" s="20" t="n">
        <v>0</v>
      </c>
      <c r="F12" s="20" t="n">
        <v>0</v>
      </c>
      <c r="G12" s="20" t="n">
        <v>1</v>
      </c>
      <c r="H12" s="20" t="n">
        <v>1</v>
      </c>
      <c r="I12" s="20" t="n">
        <v>2</v>
      </c>
      <c r="J12" s="20" t="n">
        <v>3</v>
      </c>
      <c r="K12" s="20" t="n">
        <v>4</v>
      </c>
      <c r="L12" s="20" t="n">
        <v>5</v>
      </c>
      <c r="M12" s="20" t="n">
        <v>6</v>
      </c>
      <c r="N12" s="9" t="n">
        <f aca="false">SUM(B12:M12)</f>
        <v>22</v>
      </c>
    </row>
    <row r="13" customFormat="false" ht="10.5" hidden="false" customHeight="false" outlineLevel="0" collapsed="false">
      <c r="A13" s="8" t="str">
        <f aca="false">"Preço de "&amp;InformacoesBasicas!C17</f>
        <v>Preço de Licença B2B EcoTracker Compliance</v>
      </c>
      <c r="B13" s="21" t="n">
        <v>890</v>
      </c>
      <c r="C13" s="21" t="n">
        <v>890</v>
      </c>
      <c r="D13" s="21" t="n">
        <v>890</v>
      </c>
      <c r="E13" s="21" t="n">
        <v>890</v>
      </c>
      <c r="F13" s="21" t="n">
        <v>890</v>
      </c>
      <c r="G13" s="21" t="n">
        <v>890</v>
      </c>
      <c r="H13" s="21" t="n">
        <v>890</v>
      </c>
      <c r="I13" s="21" t="n">
        <v>890</v>
      </c>
      <c r="J13" s="21" t="n">
        <v>890</v>
      </c>
      <c r="K13" s="21" t="n">
        <v>890</v>
      </c>
      <c r="L13" s="21" t="n">
        <v>890</v>
      </c>
      <c r="M13" s="21" t="n">
        <v>890</v>
      </c>
      <c r="N13" s="22" t="n">
        <f aca="false">SUM(B13:M13)</f>
        <v>10680</v>
      </c>
    </row>
    <row r="15" customFormat="false" ht="10.5" hidden="false" customHeight="false" outlineLevel="0" collapsed="false">
      <c r="A15" s="17" t="str">
        <f aca="false">"Vendas de "&amp;InformacoesBasicas!C18</f>
        <v>Vendas de Patrocínio / publicidade no app</v>
      </c>
      <c r="B15" s="18" t="n">
        <f aca="false">B16*B17</f>
        <v>0</v>
      </c>
      <c r="C15" s="18" t="n">
        <f aca="false">C16*C17</f>
        <v>0</v>
      </c>
      <c r="D15" s="18" t="n">
        <f aca="false">D16*D17</f>
        <v>0</v>
      </c>
      <c r="E15" s="18" t="n">
        <f aca="false">E16*E17</f>
        <v>2500</v>
      </c>
      <c r="F15" s="18" t="n">
        <f aca="false">F16*F17</f>
        <v>2500</v>
      </c>
      <c r="G15" s="18" t="n">
        <f aca="false">G16*G17</f>
        <v>2500</v>
      </c>
      <c r="H15" s="18" t="n">
        <f aca="false">H16*H17</f>
        <v>5000</v>
      </c>
      <c r="I15" s="18" t="n">
        <f aca="false">I16*I17</f>
        <v>5000</v>
      </c>
      <c r="J15" s="18" t="n">
        <f aca="false">J16*J17</f>
        <v>5000</v>
      </c>
      <c r="K15" s="18" t="n">
        <f aca="false">K16*K17</f>
        <v>7500</v>
      </c>
      <c r="L15" s="18" t="n">
        <f aca="false">L16*L17</f>
        <v>7500</v>
      </c>
      <c r="M15" s="18" t="n">
        <f aca="false">M16*M17</f>
        <v>7500</v>
      </c>
      <c r="N15" s="19" t="n">
        <f aca="false">SUM(B15:M15)</f>
        <v>45000</v>
      </c>
    </row>
    <row r="16" customFormat="false" ht="10.5" hidden="false" customHeight="false" outlineLevel="0" collapsed="false">
      <c r="A16" s="8" t="s">
        <v>27</v>
      </c>
      <c r="B16" s="20" t="n">
        <v>0</v>
      </c>
      <c r="C16" s="20" t="n">
        <v>0</v>
      </c>
      <c r="D16" s="20" t="n">
        <v>0</v>
      </c>
      <c r="E16" s="20" t="n">
        <v>1</v>
      </c>
      <c r="F16" s="20" t="n">
        <v>1</v>
      </c>
      <c r="G16" s="20" t="n">
        <v>1</v>
      </c>
      <c r="H16" s="20" t="n">
        <v>2</v>
      </c>
      <c r="I16" s="20" t="n">
        <v>2</v>
      </c>
      <c r="J16" s="20" t="n">
        <v>2</v>
      </c>
      <c r="K16" s="20" t="n">
        <v>3</v>
      </c>
      <c r="L16" s="20" t="n">
        <v>3</v>
      </c>
      <c r="M16" s="20" t="n">
        <v>3</v>
      </c>
      <c r="N16" s="9" t="n">
        <f aca="false">SUM(B16:M16)</f>
        <v>18</v>
      </c>
    </row>
    <row r="17" customFormat="false" ht="10.5" hidden="false" customHeight="false" outlineLevel="0" collapsed="false">
      <c r="A17" s="8" t="str">
        <f aca="false">"Preço de "&amp;InformacoesBasicas!C18</f>
        <v>Preço de Patrocínio / publicidade no app</v>
      </c>
      <c r="B17" s="21" t="n">
        <v>2500</v>
      </c>
      <c r="C17" s="21" t="n">
        <v>2500</v>
      </c>
      <c r="D17" s="21" t="n">
        <v>2500</v>
      </c>
      <c r="E17" s="21" t="n">
        <v>2500</v>
      </c>
      <c r="F17" s="21" t="n">
        <v>2500</v>
      </c>
      <c r="G17" s="21" t="n">
        <v>2500</v>
      </c>
      <c r="H17" s="21" t="n">
        <v>2500</v>
      </c>
      <c r="I17" s="21" t="n">
        <v>2500</v>
      </c>
      <c r="J17" s="21" t="n">
        <v>2500</v>
      </c>
      <c r="K17" s="21" t="n">
        <v>2500</v>
      </c>
      <c r="L17" s="21" t="n">
        <v>2500</v>
      </c>
      <c r="M17" s="21" t="n">
        <v>2500</v>
      </c>
      <c r="N17" s="22" t="n">
        <f aca="false">SUM(B17:M17)</f>
        <v>30000</v>
      </c>
    </row>
    <row r="19" customFormat="false" ht="10.5" hidden="false" customHeight="false" outlineLevel="0" collapsed="false">
      <c r="A19" s="17" t="str">
        <f aca="false">"Vendas de "&amp;InformacoesBasicas!C19</f>
        <v>Vendas de Comissão de compensação de carbono</v>
      </c>
      <c r="B19" s="18" t="n">
        <f aca="false">B20*B21</f>
        <v>0</v>
      </c>
      <c r="C19" s="18" t="n">
        <f aca="false">C20*C21</f>
        <v>0</v>
      </c>
      <c r="D19" s="18" t="n">
        <f aca="false">D20*D21</f>
        <v>0</v>
      </c>
      <c r="E19" s="18" t="n">
        <f aca="false">E20*E21</f>
        <v>0</v>
      </c>
      <c r="F19" s="18" t="n">
        <f aca="false">F20*F21</f>
        <v>0</v>
      </c>
      <c r="G19" s="18" t="n">
        <f aca="false">G20*G21</f>
        <v>0</v>
      </c>
      <c r="H19" s="18" t="n">
        <f aca="false">H20*H21</f>
        <v>1250</v>
      </c>
      <c r="I19" s="18" t="n">
        <f aca="false">I20*I21</f>
        <v>2000</v>
      </c>
      <c r="J19" s="18" t="n">
        <f aca="false">J20*J21</f>
        <v>3000</v>
      </c>
      <c r="K19" s="18" t="n">
        <f aca="false">K20*K21</f>
        <v>4500</v>
      </c>
      <c r="L19" s="18" t="n">
        <f aca="false">L20*L21</f>
        <v>6250</v>
      </c>
      <c r="M19" s="18" t="n">
        <f aca="false">M20*M21</f>
        <v>8000</v>
      </c>
      <c r="N19" s="19" t="n">
        <f aca="false">SUM(B19:M19)</f>
        <v>25000</v>
      </c>
    </row>
    <row r="20" customFormat="false" ht="10.5" hidden="false" customHeight="false" outlineLevel="0" collapsed="false">
      <c r="A20" s="8" t="s">
        <v>27</v>
      </c>
      <c r="B20" s="20" t="n">
        <v>0</v>
      </c>
      <c r="C20" s="20" t="n">
        <v>0</v>
      </c>
      <c r="D20" s="20" t="n">
        <v>0</v>
      </c>
      <c r="E20" s="20" t="n">
        <v>0</v>
      </c>
      <c r="F20" s="20" t="n">
        <v>0</v>
      </c>
      <c r="G20" s="20" t="n">
        <v>0</v>
      </c>
      <c r="H20" s="20" t="n">
        <v>50</v>
      </c>
      <c r="I20" s="20" t="n">
        <v>80</v>
      </c>
      <c r="J20" s="20" t="n">
        <v>120</v>
      </c>
      <c r="K20" s="20" t="n">
        <v>180</v>
      </c>
      <c r="L20" s="20" t="n">
        <v>250</v>
      </c>
      <c r="M20" s="20" t="n">
        <v>320</v>
      </c>
      <c r="N20" s="9" t="n">
        <f aca="false">SUM(B20:M20)</f>
        <v>1000</v>
      </c>
    </row>
    <row r="21" customFormat="false" ht="10.5" hidden="false" customHeight="false" outlineLevel="0" collapsed="false">
      <c r="A21" s="8" t="str">
        <f aca="false">"Preço de "&amp;InformacoesBasicas!C19</f>
        <v>Preço de Comissão de compensação de carbono</v>
      </c>
      <c r="B21" s="21" t="n">
        <v>25</v>
      </c>
      <c r="C21" s="21" t="n">
        <v>25</v>
      </c>
      <c r="D21" s="21" t="n">
        <v>25</v>
      </c>
      <c r="E21" s="21" t="n">
        <v>25</v>
      </c>
      <c r="F21" s="21" t="n">
        <v>25</v>
      </c>
      <c r="G21" s="21" t="n">
        <v>25</v>
      </c>
      <c r="H21" s="21" t="n">
        <v>25</v>
      </c>
      <c r="I21" s="21" t="n">
        <v>25</v>
      </c>
      <c r="J21" s="21" t="n">
        <v>25</v>
      </c>
      <c r="K21" s="21" t="n">
        <v>25</v>
      </c>
      <c r="L21" s="21" t="n">
        <v>25</v>
      </c>
      <c r="M21" s="21" t="n">
        <v>25</v>
      </c>
      <c r="N21" s="22" t="n">
        <f aca="false">SUM(B21:M21)</f>
        <v>300</v>
      </c>
    </row>
    <row r="23" customFormat="false" ht="10.5" hidden="false" customHeight="false" outlineLevel="0" collapsed="false">
      <c r="A23" s="17" t="str">
        <f aca="false">"Vendas de "&amp;InformacoesBasicas!C20</f>
        <v>Vendas de </v>
      </c>
      <c r="B23" s="18" t="n">
        <f aca="false">B24*B25</f>
        <v>0</v>
      </c>
      <c r="C23" s="18" t="n">
        <f aca="false">C24*C25</f>
        <v>0</v>
      </c>
      <c r="D23" s="18" t="n">
        <f aca="false">D24*D25</f>
        <v>0</v>
      </c>
      <c r="E23" s="18" t="n">
        <f aca="false">E24*E25</f>
        <v>0</v>
      </c>
      <c r="F23" s="18" t="n">
        <f aca="false">F24*F25</f>
        <v>0</v>
      </c>
      <c r="G23" s="18" t="n">
        <f aca="false">G24*G25</f>
        <v>0</v>
      </c>
      <c r="H23" s="18" t="n">
        <f aca="false">H24*H25</f>
        <v>0</v>
      </c>
      <c r="I23" s="18" t="n">
        <f aca="false">I24*I25</f>
        <v>0</v>
      </c>
      <c r="J23" s="18" t="n">
        <f aca="false">J24*J25</f>
        <v>0</v>
      </c>
      <c r="K23" s="18" t="n">
        <f aca="false">K24*K25</f>
        <v>0</v>
      </c>
      <c r="L23" s="18" t="n">
        <f aca="false">L24*L25</f>
        <v>0</v>
      </c>
      <c r="M23" s="18" t="n">
        <f aca="false">M24*M25</f>
        <v>0</v>
      </c>
      <c r="N23" s="19" t="n">
        <f aca="false">SUM(B23:M23)</f>
        <v>0</v>
      </c>
    </row>
    <row r="24" customFormat="false" ht="10.5" hidden="false" customHeight="false" outlineLevel="0" collapsed="false">
      <c r="A24" s="8" t="s">
        <v>27</v>
      </c>
      <c r="B24" s="20" t="n">
        <v>0</v>
      </c>
      <c r="C24" s="20" t="n">
        <v>0</v>
      </c>
      <c r="D24" s="20" t="n">
        <v>0</v>
      </c>
      <c r="E24" s="20" t="n">
        <v>0</v>
      </c>
      <c r="F24" s="20" t="n">
        <v>0</v>
      </c>
      <c r="G24" s="20" t="n">
        <v>0</v>
      </c>
      <c r="H24" s="20" t="n">
        <v>0</v>
      </c>
      <c r="I24" s="20" t="n">
        <v>0</v>
      </c>
      <c r="J24" s="20" t="n">
        <v>0</v>
      </c>
      <c r="K24" s="20" t="n">
        <v>0</v>
      </c>
      <c r="L24" s="20" t="n">
        <v>0</v>
      </c>
      <c r="M24" s="20" t="n">
        <v>0</v>
      </c>
      <c r="N24" s="9" t="n">
        <f aca="false">SUM(B24:M24)</f>
        <v>0</v>
      </c>
    </row>
    <row r="25" customFormat="false" ht="10.5" hidden="false" customHeight="false" outlineLevel="0" collapsed="false">
      <c r="A25" s="8" t="str">
        <f aca="false">"Preço de "&amp;InformacoesBasicas!C20</f>
        <v>Preço de </v>
      </c>
      <c r="B25" s="21" t="n">
        <v>0</v>
      </c>
      <c r="C25" s="21" t="n">
        <v>0</v>
      </c>
      <c r="D25" s="21" t="n">
        <v>0</v>
      </c>
      <c r="E25" s="21" t="n">
        <v>0</v>
      </c>
      <c r="F25" s="21" t="n">
        <v>0</v>
      </c>
      <c r="G25" s="21" t="n">
        <v>0</v>
      </c>
      <c r="H25" s="21" t="n">
        <v>0</v>
      </c>
      <c r="I25" s="21" t="n">
        <v>0</v>
      </c>
      <c r="J25" s="21" t="n">
        <v>0</v>
      </c>
      <c r="K25" s="21" t="n">
        <v>0</v>
      </c>
      <c r="L25" s="21" t="n">
        <v>0</v>
      </c>
      <c r="M25" s="21" t="n">
        <v>0</v>
      </c>
      <c r="N25" s="22" t="n">
        <f aca="false">SUM(B25:M25)</f>
        <v>0</v>
      </c>
    </row>
    <row r="27" customFormat="false" ht="10.5" hidden="false" customHeight="false" outlineLevel="0" collapsed="false">
      <c r="A27" s="17" t="str">
        <f aca="false">"Vendas de "&amp;InformacoesBasicas!C21</f>
        <v>Vendas de </v>
      </c>
      <c r="B27" s="18" t="n">
        <f aca="false">B28*B29</f>
        <v>0</v>
      </c>
      <c r="C27" s="18" t="n">
        <f aca="false">C28*C29</f>
        <v>0</v>
      </c>
      <c r="D27" s="18" t="n">
        <f aca="false">D28*D29</f>
        <v>0</v>
      </c>
      <c r="E27" s="18" t="n">
        <f aca="false">E28*E29</f>
        <v>0</v>
      </c>
      <c r="F27" s="18" t="n">
        <f aca="false">F28*F29</f>
        <v>0</v>
      </c>
      <c r="G27" s="18" t="n">
        <f aca="false">G28*G29</f>
        <v>0</v>
      </c>
      <c r="H27" s="18" t="n">
        <f aca="false">H28*H29</f>
        <v>0</v>
      </c>
      <c r="I27" s="18" t="n">
        <f aca="false">I28*I29</f>
        <v>0</v>
      </c>
      <c r="J27" s="18" t="n">
        <f aca="false">J28*J29</f>
        <v>0</v>
      </c>
      <c r="K27" s="18" t="n">
        <f aca="false">K28*K29</f>
        <v>0</v>
      </c>
      <c r="L27" s="18" t="n">
        <f aca="false">L28*L29</f>
        <v>0</v>
      </c>
      <c r="M27" s="18" t="n">
        <f aca="false">M28*M29</f>
        <v>0</v>
      </c>
      <c r="N27" s="19" t="n">
        <f aca="false">SUM(B27:M27)</f>
        <v>0</v>
      </c>
    </row>
    <row r="28" customFormat="false" ht="10.5" hidden="false" customHeight="false" outlineLevel="0" collapsed="false">
      <c r="A28" s="8" t="s">
        <v>27</v>
      </c>
      <c r="B28" s="20" t="n">
        <v>0</v>
      </c>
      <c r="C28" s="20" t="n">
        <v>0</v>
      </c>
      <c r="D28" s="20" t="n">
        <v>0</v>
      </c>
      <c r="E28" s="20" t="n">
        <v>0</v>
      </c>
      <c r="F28" s="20" t="n">
        <v>0</v>
      </c>
      <c r="G28" s="20" t="n">
        <v>0</v>
      </c>
      <c r="H28" s="20" t="n">
        <v>0</v>
      </c>
      <c r="I28" s="20" t="n">
        <v>0</v>
      </c>
      <c r="J28" s="20" t="n">
        <v>0</v>
      </c>
      <c r="K28" s="20" t="n">
        <v>0</v>
      </c>
      <c r="L28" s="20" t="n">
        <v>0</v>
      </c>
      <c r="M28" s="20" t="n">
        <v>0</v>
      </c>
      <c r="N28" s="9" t="n">
        <f aca="false">SUM(B28:M28)</f>
        <v>0</v>
      </c>
    </row>
    <row r="29" customFormat="false" ht="10.5" hidden="false" customHeight="false" outlineLevel="0" collapsed="false">
      <c r="A29" s="8" t="str">
        <f aca="false">"Preço de "&amp;InformacoesBasicas!C21</f>
        <v>Preço de </v>
      </c>
      <c r="B29" s="21" t="n">
        <v>0</v>
      </c>
      <c r="C29" s="21" t="n">
        <v>0</v>
      </c>
      <c r="D29" s="21" t="n">
        <v>0</v>
      </c>
      <c r="E29" s="21" t="n">
        <v>0</v>
      </c>
      <c r="F29" s="21" t="n">
        <v>0</v>
      </c>
      <c r="G29" s="21" t="n">
        <v>0</v>
      </c>
      <c r="H29" s="21" t="n">
        <v>0</v>
      </c>
      <c r="I29" s="21" t="n">
        <v>0</v>
      </c>
      <c r="J29" s="21" t="n">
        <v>0</v>
      </c>
      <c r="K29" s="21" t="n">
        <v>0</v>
      </c>
      <c r="L29" s="21" t="n">
        <v>0</v>
      </c>
      <c r="M29" s="21" t="n">
        <v>0</v>
      </c>
      <c r="N29" s="22" t="n">
        <f aca="false">SUM(B29:M29)</f>
        <v>0</v>
      </c>
    </row>
    <row r="31" customFormat="false" ht="10.5" hidden="false" customHeight="false" outlineLevel="0" collapsed="false">
      <c r="A31" s="17" t="str">
        <f aca="false">"Vendas de "&amp;InformacoesBasicas!C22</f>
        <v>Vendas de </v>
      </c>
      <c r="B31" s="18" t="n">
        <f aca="false">B32*B33</f>
        <v>0</v>
      </c>
      <c r="C31" s="18" t="n">
        <f aca="false">C32*C33</f>
        <v>0</v>
      </c>
      <c r="D31" s="18" t="n">
        <f aca="false">D32*D33</f>
        <v>0</v>
      </c>
      <c r="E31" s="18" t="n">
        <f aca="false">E32*E33</f>
        <v>0</v>
      </c>
      <c r="F31" s="18" t="n">
        <f aca="false">F32*F33</f>
        <v>0</v>
      </c>
      <c r="G31" s="18" t="n">
        <f aca="false">G32*G33</f>
        <v>0</v>
      </c>
      <c r="H31" s="18" t="n">
        <f aca="false">H32*H33</f>
        <v>0</v>
      </c>
      <c r="I31" s="18" t="n">
        <f aca="false">I32*I33</f>
        <v>0</v>
      </c>
      <c r="J31" s="18" t="n">
        <f aca="false">J32*J33</f>
        <v>0</v>
      </c>
      <c r="K31" s="18" t="n">
        <f aca="false">K32*K33</f>
        <v>0</v>
      </c>
      <c r="L31" s="18" t="n">
        <f aca="false">L32*L33</f>
        <v>0</v>
      </c>
      <c r="M31" s="18" t="n">
        <f aca="false">M32*M33</f>
        <v>0</v>
      </c>
      <c r="N31" s="19" t="n">
        <f aca="false">SUM(B31:M31)</f>
        <v>0</v>
      </c>
    </row>
    <row r="32" customFormat="false" ht="10.5" hidden="false" customHeight="false" outlineLevel="0" collapsed="false">
      <c r="A32" s="8" t="s">
        <v>27</v>
      </c>
      <c r="B32" s="20" t="n">
        <v>0</v>
      </c>
      <c r="C32" s="20" t="n">
        <v>0</v>
      </c>
      <c r="D32" s="20" t="n">
        <v>0</v>
      </c>
      <c r="E32" s="20" t="n">
        <v>0</v>
      </c>
      <c r="F32" s="20" t="n">
        <v>0</v>
      </c>
      <c r="G32" s="20" t="n">
        <v>0</v>
      </c>
      <c r="H32" s="20" t="n">
        <v>0</v>
      </c>
      <c r="I32" s="20" t="n">
        <v>0</v>
      </c>
      <c r="J32" s="20" t="n">
        <v>0</v>
      </c>
      <c r="K32" s="20" t="n">
        <v>0</v>
      </c>
      <c r="L32" s="20" t="n">
        <v>0</v>
      </c>
      <c r="M32" s="20" t="n">
        <v>0</v>
      </c>
      <c r="N32" s="9" t="n">
        <f aca="false">SUM(B32:M32)</f>
        <v>0</v>
      </c>
    </row>
    <row r="33" customFormat="false" ht="10.5" hidden="false" customHeight="false" outlineLevel="0" collapsed="false">
      <c r="A33" s="8" t="str">
        <f aca="false">"Preço de "&amp;InformacoesBasicas!C25</f>
        <v>Preço de </v>
      </c>
      <c r="B33" s="21" t="n">
        <v>0</v>
      </c>
      <c r="C33" s="21" t="n">
        <v>0</v>
      </c>
      <c r="D33" s="21" t="n">
        <v>0</v>
      </c>
      <c r="E33" s="21" t="n">
        <v>0</v>
      </c>
      <c r="F33" s="21" t="n">
        <v>0</v>
      </c>
      <c r="G33" s="21" t="n">
        <v>0</v>
      </c>
      <c r="H33" s="21" t="n">
        <v>0</v>
      </c>
      <c r="I33" s="21" t="n">
        <v>0</v>
      </c>
      <c r="J33" s="21" t="n">
        <v>0</v>
      </c>
      <c r="K33" s="21" t="n">
        <v>0</v>
      </c>
      <c r="L33" s="21" t="n">
        <v>0</v>
      </c>
      <c r="M33" s="21" t="n">
        <v>0</v>
      </c>
      <c r="N33" s="22" t="n">
        <f aca="false">SUM(B33:M33)</f>
        <v>0</v>
      </c>
    </row>
    <row r="35" customFormat="false" ht="10.5" hidden="false" customHeight="false" outlineLevel="0" collapsed="false">
      <c r="A35" s="17" t="str">
        <f aca="false">"Vendas de "&amp;InformacoesBasicas!C23</f>
        <v>Vendas de </v>
      </c>
      <c r="B35" s="18" t="n">
        <f aca="false">B36*B37</f>
        <v>0</v>
      </c>
      <c r="C35" s="18" t="n">
        <f aca="false">C36*C37</f>
        <v>0</v>
      </c>
      <c r="D35" s="18" t="n">
        <f aca="false">D36*D37</f>
        <v>0</v>
      </c>
      <c r="E35" s="18" t="n">
        <f aca="false">E36*E37</f>
        <v>0</v>
      </c>
      <c r="F35" s="18" t="n">
        <f aca="false">F36*F37</f>
        <v>0</v>
      </c>
      <c r="G35" s="18" t="n">
        <f aca="false">G36*G37</f>
        <v>0</v>
      </c>
      <c r="H35" s="18" t="n">
        <f aca="false">H36*H37</f>
        <v>0</v>
      </c>
      <c r="I35" s="18" t="n">
        <f aca="false">I36*I37</f>
        <v>0</v>
      </c>
      <c r="J35" s="18" t="n">
        <f aca="false">J36*J37</f>
        <v>0</v>
      </c>
      <c r="K35" s="18" t="n">
        <f aca="false">K36*K37</f>
        <v>0</v>
      </c>
      <c r="L35" s="18" t="n">
        <f aca="false">L36*L37</f>
        <v>0</v>
      </c>
      <c r="M35" s="18" t="n">
        <f aca="false">M36*M37</f>
        <v>0</v>
      </c>
      <c r="N35" s="19" t="n">
        <f aca="false">SUM(B35:M35)</f>
        <v>0</v>
      </c>
    </row>
    <row r="36" customFormat="false" ht="10.5" hidden="false" customHeight="false" outlineLevel="0" collapsed="false">
      <c r="A36" s="8" t="s">
        <v>27</v>
      </c>
      <c r="B36" s="20" t="n">
        <v>0</v>
      </c>
      <c r="C36" s="20" t="n">
        <v>0</v>
      </c>
      <c r="D36" s="20" t="n">
        <v>0</v>
      </c>
      <c r="E36" s="20" t="n">
        <v>0</v>
      </c>
      <c r="F36" s="20" t="n">
        <v>0</v>
      </c>
      <c r="G36" s="20" t="n">
        <v>0</v>
      </c>
      <c r="H36" s="20" t="n">
        <v>0</v>
      </c>
      <c r="I36" s="20" t="n">
        <v>0</v>
      </c>
      <c r="J36" s="20" t="n">
        <v>0</v>
      </c>
      <c r="K36" s="20" t="n">
        <v>0</v>
      </c>
      <c r="L36" s="20" t="n">
        <v>0</v>
      </c>
      <c r="M36" s="20" t="n">
        <v>0</v>
      </c>
      <c r="N36" s="9" t="n">
        <f aca="false">SUM(B36:M36)</f>
        <v>0</v>
      </c>
    </row>
    <row r="37" customFormat="false" ht="10.5" hidden="false" customHeight="false" outlineLevel="0" collapsed="false">
      <c r="A37" s="8" t="str">
        <f aca="false">"Preço de "&amp;InformacoesBasicas!C29</f>
        <v>Preço de </v>
      </c>
      <c r="B37" s="21" t="n">
        <v>0</v>
      </c>
      <c r="C37" s="21" t="n">
        <v>0</v>
      </c>
      <c r="D37" s="21" t="n">
        <v>0</v>
      </c>
      <c r="E37" s="21" t="n">
        <v>0</v>
      </c>
      <c r="F37" s="21" t="n">
        <v>0</v>
      </c>
      <c r="G37" s="21" t="n">
        <v>0</v>
      </c>
      <c r="H37" s="21" t="n">
        <v>0</v>
      </c>
      <c r="I37" s="21" t="n">
        <v>0</v>
      </c>
      <c r="J37" s="21" t="n">
        <v>0</v>
      </c>
      <c r="K37" s="21" t="n">
        <v>0</v>
      </c>
      <c r="L37" s="21" t="n">
        <v>0</v>
      </c>
      <c r="M37" s="21" t="n">
        <v>0</v>
      </c>
      <c r="N37" s="22" t="n">
        <f aca="false">SUM(B37:M37)</f>
        <v>0</v>
      </c>
    </row>
    <row r="39" customFormat="false" ht="10.5" hidden="false" customHeight="false" outlineLevel="0" collapsed="false">
      <c r="A39" s="17" t="str">
        <f aca="false">"Vendas de "&amp;InformacoesBasicas!C24</f>
        <v>Vendas de </v>
      </c>
      <c r="B39" s="18" t="n">
        <f aca="false">B40*B41</f>
        <v>0</v>
      </c>
      <c r="C39" s="18" t="n">
        <f aca="false">C40*C41</f>
        <v>0</v>
      </c>
      <c r="D39" s="18" t="n">
        <f aca="false">D40*D41</f>
        <v>0</v>
      </c>
      <c r="E39" s="18" t="n">
        <f aca="false">E40*E41</f>
        <v>0</v>
      </c>
      <c r="F39" s="18" t="n">
        <f aca="false">F40*F41</f>
        <v>0</v>
      </c>
      <c r="G39" s="18" t="n">
        <f aca="false">G40*G41</f>
        <v>0</v>
      </c>
      <c r="H39" s="18" t="n">
        <f aca="false">H40*H41</f>
        <v>0</v>
      </c>
      <c r="I39" s="18" t="n">
        <f aca="false">I40*I41</f>
        <v>0</v>
      </c>
      <c r="J39" s="18" t="n">
        <f aca="false">J40*J41</f>
        <v>0</v>
      </c>
      <c r="K39" s="18" t="n">
        <f aca="false">K40*K41</f>
        <v>0</v>
      </c>
      <c r="L39" s="18" t="n">
        <f aca="false">L40*L41</f>
        <v>0</v>
      </c>
      <c r="M39" s="18" t="n">
        <f aca="false">M40*M41</f>
        <v>0</v>
      </c>
      <c r="N39" s="19" t="n">
        <f aca="false">SUM(B39:M39)</f>
        <v>0</v>
      </c>
    </row>
    <row r="40" customFormat="false" ht="10.5" hidden="false" customHeight="false" outlineLevel="0" collapsed="false">
      <c r="A40" s="8" t="s">
        <v>27</v>
      </c>
      <c r="B40" s="20" t="n">
        <v>0</v>
      </c>
      <c r="C40" s="20" t="n">
        <v>0</v>
      </c>
      <c r="D40" s="20" t="n">
        <v>0</v>
      </c>
      <c r="E40" s="20" t="n">
        <v>0</v>
      </c>
      <c r="F40" s="20" t="n">
        <v>0</v>
      </c>
      <c r="G40" s="20" t="n">
        <v>0</v>
      </c>
      <c r="H40" s="20" t="n">
        <v>0</v>
      </c>
      <c r="I40" s="20" t="n">
        <v>0</v>
      </c>
      <c r="J40" s="20" t="n">
        <v>0</v>
      </c>
      <c r="K40" s="20" t="n">
        <v>0</v>
      </c>
      <c r="L40" s="20" t="n">
        <v>0</v>
      </c>
      <c r="M40" s="20" t="n">
        <v>0</v>
      </c>
      <c r="N40" s="9" t="n">
        <f aca="false">SUM(B40:M40)</f>
        <v>0</v>
      </c>
    </row>
    <row r="41" customFormat="false" ht="10.5" hidden="false" customHeight="false" outlineLevel="0" collapsed="false">
      <c r="A41" s="8" t="str">
        <f aca="false">"Preço de "&amp;InformacoesBasicas!C33</f>
        <v>Preço de </v>
      </c>
      <c r="B41" s="21" t="n">
        <v>0</v>
      </c>
      <c r="C41" s="21" t="n">
        <v>0</v>
      </c>
      <c r="D41" s="21" t="n">
        <v>0</v>
      </c>
      <c r="E41" s="21" t="n">
        <v>0</v>
      </c>
      <c r="F41" s="21" t="n">
        <v>0</v>
      </c>
      <c r="G41" s="21" t="n">
        <v>0</v>
      </c>
      <c r="H41" s="21" t="n">
        <v>0</v>
      </c>
      <c r="I41" s="21" t="n">
        <v>0</v>
      </c>
      <c r="J41" s="21" t="n">
        <v>0</v>
      </c>
      <c r="K41" s="21" t="n">
        <v>0</v>
      </c>
      <c r="L41" s="21" t="n">
        <v>0</v>
      </c>
      <c r="M41" s="21" t="n">
        <v>0</v>
      </c>
      <c r="N41" s="22" t="n">
        <f aca="false">SUM(B41:M41)</f>
        <v>0</v>
      </c>
    </row>
    <row r="43" customFormat="false" ht="10.5" hidden="false" customHeight="false" outlineLevel="0" collapsed="false">
      <c r="A43" s="17" t="str">
        <f aca="false">"Vendas de "&amp;InformacoesBasicas!C25</f>
        <v>Vendas de </v>
      </c>
      <c r="B43" s="18" t="n">
        <f aca="false">B44*B45</f>
        <v>0</v>
      </c>
      <c r="C43" s="18" t="n">
        <f aca="false">C44*C45</f>
        <v>0</v>
      </c>
      <c r="D43" s="18" t="n">
        <f aca="false">D44*D45</f>
        <v>0</v>
      </c>
      <c r="E43" s="18" t="n">
        <f aca="false">E44*E45</f>
        <v>0</v>
      </c>
      <c r="F43" s="18" t="n">
        <f aca="false">F44*F45</f>
        <v>0</v>
      </c>
      <c r="G43" s="18" t="n">
        <f aca="false">G44*G45</f>
        <v>0</v>
      </c>
      <c r="H43" s="18" t="n">
        <f aca="false">H44*H45</f>
        <v>0</v>
      </c>
      <c r="I43" s="18" t="n">
        <f aca="false">I44*I45</f>
        <v>0</v>
      </c>
      <c r="J43" s="18" t="n">
        <f aca="false">J44*J45</f>
        <v>0</v>
      </c>
      <c r="K43" s="18" t="n">
        <f aca="false">K44*K45</f>
        <v>0</v>
      </c>
      <c r="L43" s="18" t="n">
        <f aca="false">L44*L45</f>
        <v>0</v>
      </c>
      <c r="M43" s="18" t="n">
        <f aca="false">M44*M45</f>
        <v>0</v>
      </c>
      <c r="N43" s="19" t="n">
        <f aca="false">SUM(B43:M43)</f>
        <v>0</v>
      </c>
    </row>
    <row r="44" customFormat="false" ht="10.5" hidden="false" customHeight="false" outlineLevel="0" collapsed="false">
      <c r="A44" s="8" t="s">
        <v>27</v>
      </c>
      <c r="B44" s="20" t="n">
        <v>0</v>
      </c>
      <c r="C44" s="20" t="n">
        <v>0</v>
      </c>
      <c r="D44" s="20" t="n">
        <v>0</v>
      </c>
      <c r="E44" s="20" t="n">
        <v>0</v>
      </c>
      <c r="F44" s="20" t="n">
        <v>0</v>
      </c>
      <c r="G44" s="20" t="n">
        <v>0</v>
      </c>
      <c r="H44" s="20" t="n">
        <v>0</v>
      </c>
      <c r="I44" s="20" t="n">
        <v>0</v>
      </c>
      <c r="J44" s="20" t="n">
        <v>0</v>
      </c>
      <c r="K44" s="20" t="n">
        <v>0</v>
      </c>
      <c r="L44" s="20" t="n">
        <v>0</v>
      </c>
      <c r="M44" s="20" t="n">
        <v>0</v>
      </c>
      <c r="N44" s="9" t="n">
        <f aca="false">SUM(B44:M44)</f>
        <v>0</v>
      </c>
    </row>
    <row r="45" customFormat="false" ht="10.5" hidden="false" customHeight="false" outlineLevel="0" collapsed="false">
      <c r="A45" s="8" t="str">
        <f aca="false">"Preço de "&amp;InformacoesBasicas!C37</f>
        <v>Preço de </v>
      </c>
      <c r="B45" s="21" t="n">
        <v>0</v>
      </c>
      <c r="C45" s="21" t="n">
        <v>0</v>
      </c>
      <c r="D45" s="21" t="n">
        <v>0</v>
      </c>
      <c r="E45" s="21" t="n">
        <v>0</v>
      </c>
      <c r="F45" s="21" t="n">
        <v>0</v>
      </c>
      <c r="G45" s="21" t="n">
        <v>0</v>
      </c>
      <c r="H45" s="21" t="n">
        <v>0</v>
      </c>
      <c r="I45" s="21" t="n">
        <v>0</v>
      </c>
      <c r="J45" s="21" t="n">
        <v>0</v>
      </c>
      <c r="K45" s="21" t="n">
        <v>0</v>
      </c>
      <c r="L45" s="21" t="n">
        <v>0</v>
      </c>
      <c r="M45" s="21" t="n">
        <v>0</v>
      </c>
      <c r="N45" s="22" t="n">
        <f aca="false">SUM(B45:M45)</f>
        <v>0</v>
      </c>
    </row>
  </sheetData>
  <printOptions headings="false" gridLines="false" gridLinesSet="true" horizontalCentered="false" verticalCentered="false"/>
  <pageMargins left="0.7875" right="0.7875"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0.5" zeroHeight="false" outlineLevelRow="0" outlineLevelCol="0"/>
  <cols>
    <col collapsed="false" customWidth="true" hidden="false" outlineLevel="0" max="1" min="1" style="8" width="46.5"/>
    <col collapsed="false" customWidth="true" hidden="false" outlineLevel="0" max="2" min="2" style="8" width="13.83"/>
    <col collapsed="false" customWidth="false" hidden="false" outlineLevel="0" max="1024" min="3" style="8" width="8.83"/>
  </cols>
  <sheetData>
    <row r="1" customFormat="false" ht="15.75" hidden="false" customHeight="true" outlineLevel="0" collapsed="false">
      <c r="A1" s="10" t="s">
        <v>28</v>
      </c>
    </row>
    <row r="4" customFormat="false" ht="10.5" hidden="false" customHeight="false" outlineLevel="0" collapsed="false">
      <c r="A4" s="17" t="str">
        <f aca="false">IF(InformacoesBasicas!B10=1,"Custo Unitário Médio de Aquisição do Fornecedor de ",IF(InformacoesBasicas!B10=2,"Custo Unitário de Prestação de cada Serviço de ",IF(InformacoesBasicas!B10=3,"Custo da matéria-prima para Fabricação de cada ","Custo de")))&amp;InformacoesBasicas!C16</f>
        <v>Custo Unitário de Prestação de cada Serviço de Assinatura Premium (usuário final)</v>
      </c>
      <c r="B4" s="21" t="n">
        <v>1.1</v>
      </c>
    </row>
    <row r="6" customFormat="false" ht="10.5" hidden="false" customHeight="false" outlineLevel="0" collapsed="false">
      <c r="A6" s="17" t="str">
        <f aca="false">IF(InformacoesBasicas!B10=1,"Custo Médio de Aquisição do Fornecedor de ",IF(InformacoesBasicas!B10=2,"Custo Unitário de Prestação de cada Serviço de ",IF(InformacoesBasicas!B10=3,"Custo da matéria-prima para Fabricação de cada ","Custo de")))&amp;InformacoesBasicas!C17</f>
        <v>Custo Unitário de Prestação de cada Serviço de Licença B2B EcoTracker Compliance</v>
      </c>
      <c r="B6" s="21" t="n">
        <v>120</v>
      </c>
    </row>
    <row r="8" customFormat="false" ht="10.5" hidden="false" customHeight="false" outlineLevel="0" collapsed="false">
      <c r="A8" s="17" t="str">
        <f aca="false">IF(InformacoesBasicas!B10=1,"Custo Médio de Aquisição do Fornecedor de ",IF(InformacoesBasicas!B10=2,"Custo Unitário de Prestação de cada Serviço de ",IF(InformacoesBasicas!B10=3,"Custo da matéria-prima para Fabricação de cada ","Custo de")))&amp;InformacoesBasicas!C18</f>
        <v>Custo Unitário de Prestação de cada Serviço de Patrocínio / publicidade no app</v>
      </c>
      <c r="B8" s="21" t="n">
        <v>300</v>
      </c>
    </row>
    <row r="10" customFormat="false" ht="10.5" hidden="false" customHeight="false" outlineLevel="0" collapsed="false">
      <c r="A10" s="17" t="str">
        <f aca="false">IF(InformacoesBasicas!B10=1,"Custo Médio de Aquisição do Fornecedor de ",IF(InformacoesBasicas!B10=2,"Custo Unitário de Prestação de cada Serviço de ",IF(InformacoesBasicas!B10=3,"Custo da matéria-prima para Fabricação de cada ","Custo de")))&amp;InformacoesBasicas!C19</f>
        <v>Custo Unitário de Prestação de cada Serviço de Comissão de compensação de carbono</v>
      </c>
      <c r="B10" s="21" t="n">
        <v>15</v>
      </c>
    </row>
    <row r="12" customFormat="false" ht="10.5" hidden="false" customHeight="false" outlineLevel="0" collapsed="false">
      <c r="A12" s="17" t="str">
        <f aca="false">IF(InformacoesBasicas!B10=1,"Custo Médio de Aquisição do Fornecedor de ",IF(InformacoesBasicas!B10=2,"Custo Unitário de Prestação de cada Serviço de ",IF(InformacoesBasicas!B10=3,"Custo da matéria-prima para Fabricação de cada ","Custo de")))&amp;InformacoesBasicas!C20</f>
        <v>Custo Unitário de Prestação de cada Serviço de </v>
      </c>
      <c r="B12" s="21" t="n">
        <v>0</v>
      </c>
    </row>
    <row r="14" customFormat="false" ht="10.5" hidden="false" customHeight="false" outlineLevel="0" collapsed="false">
      <c r="A14" s="17" t="str">
        <f aca="false">IF(InformacoesBasicas!B10=1,"Custo Médio de Aquisição do Fornecedor de ",IF(InformacoesBasicas!B10=2,"Custo Unitário de Prestação de cada Serviço de ",IF(InformacoesBasicas!B10=3,"Custo da matéria-prima para Fabricação de cada ","Custo de")))&amp;InformacoesBasicas!C21</f>
        <v>Custo Unitário de Prestação de cada Serviço de </v>
      </c>
      <c r="B14" s="21" t="n">
        <v>0</v>
      </c>
    </row>
    <row r="16" customFormat="false" ht="10.5" hidden="false" customHeight="false" outlineLevel="0" collapsed="false">
      <c r="A16" s="17" t="str">
        <f aca="false">IF(InformacoesBasicas!B10=1,"Custo Médio de Aquisição do Fornecedor de ",IF(InformacoesBasicas!B10=2,"Custo Unitário de Prestação de cada Serviço de ",IF(InformacoesBasicas!B10=3,"Custo da matéria-prima para Fabricação de cada ","Custo de")))&amp;InformacoesBasicas!C22</f>
        <v>Custo Unitário de Prestação de cada Serviço de </v>
      </c>
      <c r="B16" s="21" t="n">
        <v>0</v>
      </c>
    </row>
    <row r="18" customFormat="false" ht="10.5" hidden="false" customHeight="false" outlineLevel="0" collapsed="false">
      <c r="A18" s="17" t="str">
        <f aca="false">IF(InformacoesBasicas!B10=1,"Custo Médio de Aquisição do Fornecedor de ",IF(InformacoesBasicas!B10=2,"Custo Unitário de Prestação de cada Serviço de ",IF(InformacoesBasicas!B10=3,"Custo da matéria-prima para Fabricação de cada ","Custo de")))&amp;InformacoesBasicas!C23</f>
        <v>Custo Unitário de Prestação de cada Serviço de </v>
      </c>
      <c r="B18" s="21" t="n">
        <v>0</v>
      </c>
    </row>
    <row r="20" customFormat="false" ht="10.5" hidden="false" customHeight="false" outlineLevel="0" collapsed="false">
      <c r="A20" s="17" t="str">
        <f aca="false">IF(InformacoesBasicas!B10=1,"Custo Médio de Aquisição do Fornecedor de ",IF(InformacoesBasicas!B10=2,"Custo Unitário de Prestação de cada Serviço de ",IF(InformacoesBasicas!B10=3,"Custo da matéria-prima para Fabricação de cada ","Custo de")))&amp;InformacoesBasicas!C24</f>
        <v>Custo Unitário de Prestação de cada Serviço de </v>
      </c>
      <c r="B20" s="21" t="n">
        <v>0</v>
      </c>
    </row>
    <row r="22" customFormat="false" ht="10.5" hidden="false" customHeight="false" outlineLevel="0" collapsed="false">
      <c r="A22" s="17" t="str">
        <f aca="false">IF(InformacoesBasicas!B10=1,"Custo Médio de Aquisição do Fornecedor de ",IF(InformacoesBasicas!B10=2,"Custo Unitário de Prestação de cada Serviço de ",IF(InformacoesBasicas!B10=3,"Custo da matéria-prima para Fabricação de cada ","Custo de")))&amp;InformacoesBasicas!C25</f>
        <v>Custo Unitário de Prestação de cada Serviço de </v>
      </c>
      <c r="B22" s="21" t="n">
        <v>0</v>
      </c>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0.5" zeroHeight="false" outlineLevelRow="0" outlineLevelCol="0"/>
  <cols>
    <col collapsed="false" customWidth="true" hidden="false" outlineLevel="0" max="1" min="1" style="8" width="27.16"/>
    <col collapsed="false" customWidth="true" hidden="false" outlineLevel="0" max="2" min="2" style="8" width="9.51"/>
    <col collapsed="false" customWidth="true" hidden="false" outlineLevel="0" max="3" min="3" style="8" width="10.16"/>
    <col collapsed="false" customWidth="true" hidden="false" outlineLevel="0" max="11" min="4" style="8" width="10.99"/>
    <col collapsed="false" customWidth="true" hidden="false" outlineLevel="0" max="13" min="12" style="8" width="12.5"/>
    <col collapsed="false" customWidth="true" hidden="false" outlineLevel="0" max="14" min="14" style="8" width="13.83"/>
    <col collapsed="false" customWidth="false" hidden="false" outlineLevel="0" max="1024" min="15" style="8" width="8.83"/>
  </cols>
  <sheetData>
    <row r="1" customFormat="false" ht="15.75" hidden="false" customHeight="true" outlineLevel="0" collapsed="false">
      <c r="A1" s="10" t="s">
        <v>29</v>
      </c>
    </row>
    <row r="4" customFormat="false" ht="10.5" hidden="false" customHeight="false" outlineLevel="0" collapsed="false">
      <c r="A4" s="12" t="s">
        <v>24</v>
      </c>
      <c r="B4" s="12" t="n">
        <v>1</v>
      </c>
      <c r="C4" s="12" t="n">
        <v>2</v>
      </c>
      <c r="D4" s="12" t="n">
        <v>3</v>
      </c>
      <c r="E4" s="12" t="n">
        <v>4</v>
      </c>
      <c r="F4" s="12" t="n">
        <v>5</v>
      </c>
      <c r="G4" s="12" t="n">
        <v>6</v>
      </c>
      <c r="H4" s="12" t="n">
        <v>7</v>
      </c>
      <c r="I4" s="12" t="n">
        <v>8</v>
      </c>
      <c r="J4" s="12" t="n">
        <v>9</v>
      </c>
      <c r="K4" s="12" t="n">
        <v>10</v>
      </c>
      <c r="L4" s="12" t="n">
        <v>11</v>
      </c>
      <c r="M4" s="12" t="n">
        <v>12</v>
      </c>
      <c r="N4" s="13" t="s">
        <v>25</v>
      </c>
    </row>
    <row r="5" customFormat="false" ht="10.5" hidden="false" customHeight="false" outlineLevel="0" collapsed="false">
      <c r="A5" s="12" t="s">
        <v>30</v>
      </c>
      <c r="B5" s="12" t="n">
        <f aca="false">B10+B14+B18</f>
        <v>0</v>
      </c>
      <c r="C5" s="12" t="n">
        <f aca="false">C10+C14+C18</f>
        <v>0</v>
      </c>
      <c r="D5" s="12" t="n">
        <f aca="false">D10+D14+D18</f>
        <v>120</v>
      </c>
      <c r="E5" s="12" t="n">
        <f aca="false">E10+E14+E18</f>
        <v>261</v>
      </c>
      <c r="F5" s="12" t="n">
        <f aca="false">F10+F14+F18</f>
        <v>421</v>
      </c>
      <c r="G5" s="12" t="n">
        <f aca="false">G10+G14+G18</f>
        <v>602</v>
      </c>
      <c r="H5" s="12" t="n">
        <f aca="false">H10+H14+H18</f>
        <v>823</v>
      </c>
      <c r="I5" s="12" t="n">
        <f aca="false">I10+I14+I18</f>
        <v>1054</v>
      </c>
      <c r="J5" s="12" t="n">
        <f aca="false">J10+J14+J18</f>
        <v>1305</v>
      </c>
      <c r="K5" s="12" t="n">
        <f aca="false">K10+K14+K18</f>
        <v>1607</v>
      </c>
      <c r="L5" s="12" t="n">
        <f aca="false">L10+L14+L18</f>
        <v>1958</v>
      </c>
      <c r="M5" s="12" t="n">
        <f aca="false">M10+M14+M18</f>
        <v>2309</v>
      </c>
      <c r="N5" s="12" t="n">
        <f aca="false">N10+N14+N18</f>
        <v>10460</v>
      </c>
    </row>
    <row r="6" customFormat="false" ht="10.5" hidden="false" customHeight="false" outlineLevel="0" collapsed="false">
      <c r="A6" s="14" t="s">
        <v>26</v>
      </c>
      <c r="B6" s="15" t="n">
        <f aca="false">B8+B12+B16+B20+B24+B28+B32+B36+B40+B44</f>
        <v>0</v>
      </c>
      <c r="C6" s="15" t="n">
        <f aca="false">C8+C12+C16+C20+C24+C28+C32+C36+C40+C44</f>
        <v>0</v>
      </c>
      <c r="D6" s="15" t="n">
        <f aca="false">D8+D12+D16+D20+D24+D28+D32+D36+D40+D44</f>
        <v>132</v>
      </c>
      <c r="E6" s="15" t="n">
        <f aca="false">E8+E12+E16+E20+E24+E28+E32+E36+E40+E44</f>
        <v>586</v>
      </c>
      <c r="F6" s="15" t="n">
        <f aca="false">F8+F12+F16+F20+F24+F28+F32+F36+F40+F44</f>
        <v>762</v>
      </c>
      <c r="G6" s="15" t="n">
        <f aca="false">G8+G12+G16+G20+G24+G28+G32+G36+G40+G44</f>
        <v>1080</v>
      </c>
      <c r="H6" s="15" t="n">
        <f aca="false">H8+H12+H16+H20+H24+H28+H32+H36+H40+H44</f>
        <v>2372</v>
      </c>
      <c r="I6" s="15" t="n">
        <f aca="false">I8+I12+I16+I20+I24+I28+I32+I36+I40+I44</f>
        <v>3195</v>
      </c>
      <c r="J6" s="15" t="n">
        <f aca="false">J8+J12+J16+J20+J24+J28+J32+J36+J40+J44</f>
        <v>4190</v>
      </c>
      <c r="K6" s="15" t="n">
        <f aca="false">K8+K12+K16+K20+K24+K28+K32+K36+K40+K44</f>
        <v>5840</v>
      </c>
      <c r="L6" s="15" t="n">
        <f aca="false">L8+L12+L16+L20+L24+L28+L32+L36+L40+L44</f>
        <v>7395</v>
      </c>
      <c r="M6" s="15" t="n">
        <f aca="false">M8+M12+M16+M20+M24+M28+M32+M36+M40+M44</f>
        <v>8950</v>
      </c>
      <c r="N6" s="15" t="n">
        <f aca="false">N8+N12+N16+N20+N24+N28+N32+N36+N40+N44</f>
        <v>34502</v>
      </c>
    </row>
    <row r="7" customFormat="false" ht="10.5" hidden="false" customHeight="false" outlineLevel="0" collapsed="false">
      <c r="A7" s="14"/>
    </row>
    <row r="8" customFormat="false" ht="10.5" hidden="false" customHeight="false" outlineLevel="0" collapsed="false">
      <c r="A8" s="17" t="str">
        <f aca="false">"Custo Total de "&amp;InformacoesBasicas!C16</f>
        <v>Custo Total de Assinatura Premium (usuário final)</v>
      </c>
      <c r="B8" s="18" t="n">
        <f aca="false">B9*B10</f>
        <v>0</v>
      </c>
      <c r="C8" s="18" t="n">
        <f aca="false">C9*C10</f>
        <v>0</v>
      </c>
      <c r="D8" s="18" t="n">
        <f aca="false">D9*D10</f>
        <v>132</v>
      </c>
      <c r="E8" s="18" t="n">
        <f aca="false">E9*E10</f>
        <v>286</v>
      </c>
      <c r="F8" s="18" t="n">
        <f aca="false">F9*F10</f>
        <v>462</v>
      </c>
      <c r="G8" s="18" t="n">
        <f aca="false">G9*G10</f>
        <v>660</v>
      </c>
      <c r="H8" s="18" t="n">
        <f aca="false">H9*H10</f>
        <v>902</v>
      </c>
      <c r="I8" s="18" t="n">
        <f aca="false">I9*I10</f>
        <v>1155</v>
      </c>
      <c r="J8" s="18" t="n">
        <f aca="false">J9*J10</f>
        <v>1430</v>
      </c>
      <c r="K8" s="18" t="n">
        <f aca="false">K9*K10</f>
        <v>1760</v>
      </c>
      <c r="L8" s="18" t="n">
        <f aca="false">L9*L10</f>
        <v>2145</v>
      </c>
      <c r="M8" s="18" t="n">
        <f aca="false">M9*M10</f>
        <v>2530</v>
      </c>
      <c r="N8" s="19" t="n">
        <f aca="false">SUM(B8:M8)</f>
        <v>11462</v>
      </c>
    </row>
    <row r="9" customFormat="false" ht="10.5" hidden="false" customHeight="false" outlineLevel="0" collapsed="false">
      <c r="A9" s="8" t="str">
        <f aca="false">IF(InformacoesBasicas!B10=1,"Custo de Aquisição de ",IF(InformacoesBasicas!B10=2,"Custo de Prestação de Serviço de ",IF(InformacoesBasicas!B10=3,"Custo de Fabricação de ","Custo de")))&amp;InformacoesBasicas!C16</f>
        <v>Custo de Prestação de Serviço de Assinatura Premium (usuário final)</v>
      </c>
      <c r="B9" s="23" t="n">
        <f aca="false">'Custo Unitário'!B4</f>
        <v>1.1</v>
      </c>
      <c r="C9" s="23" t="n">
        <f aca="false">$B9</f>
        <v>1.1</v>
      </c>
      <c r="D9" s="23" t="n">
        <f aca="false">$B9</f>
        <v>1.1</v>
      </c>
      <c r="E9" s="23" t="n">
        <f aca="false">$B9</f>
        <v>1.1</v>
      </c>
      <c r="F9" s="23" t="n">
        <f aca="false">$B9</f>
        <v>1.1</v>
      </c>
      <c r="G9" s="23" t="n">
        <f aca="false">$B9</f>
        <v>1.1</v>
      </c>
      <c r="H9" s="23" t="n">
        <f aca="false">$B9</f>
        <v>1.1</v>
      </c>
      <c r="I9" s="23" t="n">
        <f aca="false">$B9</f>
        <v>1.1</v>
      </c>
      <c r="J9" s="23" t="n">
        <f aca="false">$B9</f>
        <v>1.1</v>
      </c>
      <c r="K9" s="23" t="n">
        <f aca="false">$B9</f>
        <v>1.1</v>
      </c>
      <c r="L9" s="23" t="n">
        <f aca="false">$B9</f>
        <v>1.1</v>
      </c>
      <c r="M9" s="23" t="n">
        <f aca="false">$B9</f>
        <v>1.1</v>
      </c>
      <c r="N9" s="22" t="n">
        <f aca="false">AVERAGE(B9:L9)</f>
        <v>1.1</v>
      </c>
    </row>
    <row r="10" customFormat="false" ht="10.5" hidden="false" customHeight="false" outlineLevel="0" collapsed="false">
      <c r="A10" s="8" t="s">
        <v>27</v>
      </c>
      <c r="B10" s="8" t="n">
        <f aca="false">'Entrada de $'!B8</f>
        <v>0</v>
      </c>
      <c r="C10" s="8" t="n">
        <f aca="false">'Entrada de $'!C8</f>
        <v>0</v>
      </c>
      <c r="D10" s="8" t="n">
        <f aca="false">'Entrada de $'!D8</f>
        <v>120</v>
      </c>
      <c r="E10" s="8" t="n">
        <f aca="false">'Entrada de $'!E8</f>
        <v>260</v>
      </c>
      <c r="F10" s="8" t="n">
        <f aca="false">'Entrada de $'!F8</f>
        <v>420</v>
      </c>
      <c r="G10" s="8" t="n">
        <f aca="false">'Entrada de $'!G8</f>
        <v>600</v>
      </c>
      <c r="H10" s="8" t="n">
        <f aca="false">'Entrada de $'!H8</f>
        <v>820</v>
      </c>
      <c r="I10" s="8" t="n">
        <f aca="false">'Entrada de $'!I8</f>
        <v>1050</v>
      </c>
      <c r="J10" s="8" t="n">
        <f aca="false">'Entrada de $'!J8</f>
        <v>1300</v>
      </c>
      <c r="K10" s="8" t="n">
        <f aca="false">'Entrada de $'!K8</f>
        <v>1600</v>
      </c>
      <c r="L10" s="8" t="n">
        <f aca="false">'Entrada de $'!L8</f>
        <v>1950</v>
      </c>
      <c r="M10" s="8" t="n">
        <f aca="false">'Entrada de $'!M8</f>
        <v>2300</v>
      </c>
      <c r="N10" s="8" t="n">
        <f aca="false">SUM(B10:M10)</f>
        <v>10420</v>
      </c>
    </row>
    <row r="12" customFormat="false" ht="10.5" hidden="false" customHeight="false" outlineLevel="0" collapsed="false">
      <c r="A12" s="17" t="str">
        <f aca="false">"Custo Total de "&amp;InformacoesBasicas!C17</f>
        <v>Custo Total de Licença B2B EcoTracker Compliance</v>
      </c>
      <c r="B12" s="18" t="n">
        <f aca="false">B13*B14</f>
        <v>0</v>
      </c>
      <c r="C12" s="18" t="n">
        <f aca="false">C13*C14</f>
        <v>0</v>
      </c>
      <c r="D12" s="18" t="n">
        <f aca="false">D13*D14</f>
        <v>0</v>
      </c>
      <c r="E12" s="18" t="n">
        <f aca="false">E13*E14</f>
        <v>0</v>
      </c>
      <c r="F12" s="18" t="n">
        <f aca="false">F13*F14</f>
        <v>0</v>
      </c>
      <c r="G12" s="18" t="n">
        <f aca="false">G13*G14</f>
        <v>120</v>
      </c>
      <c r="H12" s="18" t="n">
        <f aca="false">H13*H14</f>
        <v>120</v>
      </c>
      <c r="I12" s="18" t="n">
        <f aca="false">I13*I14</f>
        <v>240</v>
      </c>
      <c r="J12" s="18" t="n">
        <f aca="false">J13*J14</f>
        <v>360</v>
      </c>
      <c r="K12" s="18" t="n">
        <f aca="false">K13*K14</f>
        <v>480</v>
      </c>
      <c r="L12" s="18" t="n">
        <f aca="false">L13*L14</f>
        <v>600</v>
      </c>
      <c r="M12" s="18" t="n">
        <f aca="false">M13*M14</f>
        <v>720</v>
      </c>
      <c r="N12" s="19" t="n">
        <f aca="false">SUM(B12:M12)</f>
        <v>2640</v>
      </c>
    </row>
    <row r="13" customFormat="false" ht="10.5" hidden="false" customHeight="false" outlineLevel="0" collapsed="false">
      <c r="A13" s="8" t="str">
        <f aca="false">IF(InformacoesBasicas!B10=1,"Custo de Aquisição de ",IF(InformacoesBasicas!B10=2,"Custo de Prestação de Serviço de ",IF(InformacoesBasicas!B10=3,"Custo de Fabricação de ","Custo de")))&amp;InformacoesBasicas!C17</f>
        <v>Custo de Prestação de Serviço de Licença B2B EcoTracker Compliance</v>
      </c>
      <c r="B13" s="23" t="n">
        <f aca="false">'Custo Unitário'!B6</f>
        <v>120</v>
      </c>
      <c r="C13" s="23" t="n">
        <f aca="false">$B13</f>
        <v>120</v>
      </c>
      <c r="D13" s="23" t="n">
        <f aca="false">$B13</f>
        <v>120</v>
      </c>
      <c r="E13" s="23" t="n">
        <f aca="false">$B13</f>
        <v>120</v>
      </c>
      <c r="F13" s="23" t="n">
        <f aca="false">$B13</f>
        <v>120</v>
      </c>
      <c r="G13" s="23" t="n">
        <f aca="false">$B13</f>
        <v>120</v>
      </c>
      <c r="H13" s="23" t="n">
        <f aca="false">$B13</f>
        <v>120</v>
      </c>
      <c r="I13" s="23" t="n">
        <f aca="false">$B13</f>
        <v>120</v>
      </c>
      <c r="J13" s="23" t="n">
        <f aca="false">$B13</f>
        <v>120</v>
      </c>
      <c r="K13" s="23" t="n">
        <f aca="false">$B13</f>
        <v>120</v>
      </c>
      <c r="L13" s="23" t="n">
        <f aca="false">$B13</f>
        <v>120</v>
      </c>
      <c r="M13" s="23" t="n">
        <f aca="false">$B13</f>
        <v>120</v>
      </c>
      <c r="N13" s="22" t="n">
        <f aca="false">AVERAGE(B13:L13)</f>
        <v>120</v>
      </c>
    </row>
    <row r="14" customFormat="false" ht="10.5" hidden="false" customHeight="false" outlineLevel="0" collapsed="false">
      <c r="A14" s="8" t="s">
        <v>27</v>
      </c>
      <c r="B14" s="8" t="n">
        <f aca="false">'Entrada de $'!B12</f>
        <v>0</v>
      </c>
      <c r="C14" s="8" t="n">
        <f aca="false">'Entrada de $'!C12</f>
        <v>0</v>
      </c>
      <c r="D14" s="8" t="n">
        <f aca="false">'Entrada de $'!D12</f>
        <v>0</v>
      </c>
      <c r="E14" s="8" t="n">
        <f aca="false">'Entrada de $'!E12</f>
        <v>0</v>
      </c>
      <c r="F14" s="8" t="n">
        <f aca="false">'Entrada de $'!F12</f>
        <v>0</v>
      </c>
      <c r="G14" s="8" t="n">
        <f aca="false">'Entrada de $'!G12</f>
        <v>1</v>
      </c>
      <c r="H14" s="8" t="n">
        <f aca="false">'Entrada de $'!H12</f>
        <v>1</v>
      </c>
      <c r="I14" s="8" t="n">
        <f aca="false">'Entrada de $'!I12</f>
        <v>2</v>
      </c>
      <c r="J14" s="8" t="n">
        <f aca="false">'Entrada de $'!J12</f>
        <v>3</v>
      </c>
      <c r="K14" s="8" t="n">
        <f aca="false">'Entrada de $'!K12</f>
        <v>4</v>
      </c>
      <c r="L14" s="8" t="n">
        <f aca="false">'Entrada de $'!L12</f>
        <v>5</v>
      </c>
      <c r="M14" s="8" t="n">
        <f aca="false">'Entrada de $'!M12</f>
        <v>6</v>
      </c>
      <c r="N14" s="8" t="n">
        <f aca="false">SUM(B14:M14)</f>
        <v>22</v>
      </c>
    </row>
    <row r="16" customFormat="false" ht="10.5" hidden="false" customHeight="false" outlineLevel="0" collapsed="false">
      <c r="A16" s="17" t="str">
        <f aca="false">"Custo Total de "&amp;InformacoesBasicas!C18</f>
        <v>Custo Total de Patrocínio / publicidade no app</v>
      </c>
      <c r="B16" s="18" t="n">
        <f aca="false">B17*B18</f>
        <v>0</v>
      </c>
      <c r="C16" s="18" t="n">
        <f aca="false">C17*C18</f>
        <v>0</v>
      </c>
      <c r="D16" s="18" t="n">
        <f aca="false">D17*D18</f>
        <v>0</v>
      </c>
      <c r="E16" s="18" t="n">
        <f aca="false">E17*E18</f>
        <v>300</v>
      </c>
      <c r="F16" s="18" t="n">
        <f aca="false">F17*F18</f>
        <v>300</v>
      </c>
      <c r="G16" s="18" t="n">
        <f aca="false">G17*G18</f>
        <v>300</v>
      </c>
      <c r="H16" s="18" t="n">
        <f aca="false">H17*H18</f>
        <v>600</v>
      </c>
      <c r="I16" s="18" t="n">
        <f aca="false">I17*I18</f>
        <v>600</v>
      </c>
      <c r="J16" s="18" t="n">
        <f aca="false">J17*J18</f>
        <v>600</v>
      </c>
      <c r="K16" s="18" t="n">
        <f aca="false">K17*K18</f>
        <v>900</v>
      </c>
      <c r="L16" s="18" t="n">
        <f aca="false">L17*L18</f>
        <v>900</v>
      </c>
      <c r="M16" s="18" t="n">
        <f aca="false">M17*M18</f>
        <v>900</v>
      </c>
      <c r="N16" s="19" t="n">
        <f aca="false">SUM(B16:M16)</f>
        <v>5400</v>
      </c>
    </row>
    <row r="17" customFormat="false" ht="10.5" hidden="false" customHeight="false" outlineLevel="0" collapsed="false">
      <c r="A17" s="8" t="str">
        <f aca="false">IF(InformacoesBasicas!B10=1,"Custo de Aquisição de ",IF(InformacoesBasicas!B10=2,"Custo de Prestação de Serviço de ",IF(InformacoesBasicas!B10=3,"Custo de Fabricação de ","Custo de")))&amp;InformacoesBasicas!C18</f>
        <v>Custo de Prestação de Serviço de Patrocínio / publicidade no app</v>
      </c>
      <c r="B17" s="23" t="n">
        <f aca="false">'Custo Unitário'!B8</f>
        <v>300</v>
      </c>
      <c r="C17" s="23" t="n">
        <f aca="false">$B17</f>
        <v>300</v>
      </c>
      <c r="D17" s="23" t="n">
        <f aca="false">$B17</f>
        <v>300</v>
      </c>
      <c r="E17" s="23" t="n">
        <f aca="false">$B17</f>
        <v>300</v>
      </c>
      <c r="F17" s="23" t="n">
        <f aca="false">$B17</f>
        <v>300</v>
      </c>
      <c r="G17" s="23" t="n">
        <f aca="false">$B17</f>
        <v>300</v>
      </c>
      <c r="H17" s="23" t="n">
        <f aca="false">$B17</f>
        <v>300</v>
      </c>
      <c r="I17" s="23" t="n">
        <f aca="false">$B17</f>
        <v>300</v>
      </c>
      <c r="J17" s="23" t="n">
        <f aca="false">$B17</f>
        <v>300</v>
      </c>
      <c r="K17" s="23" t="n">
        <f aca="false">$B17</f>
        <v>300</v>
      </c>
      <c r="L17" s="23" t="n">
        <f aca="false">$B17</f>
        <v>300</v>
      </c>
      <c r="M17" s="23" t="n">
        <f aca="false">$B17</f>
        <v>300</v>
      </c>
      <c r="N17" s="22" t="n">
        <f aca="false">AVERAGE(B17:L17)</f>
        <v>300</v>
      </c>
    </row>
    <row r="18" customFormat="false" ht="10.5" hidden="false" customHeight="false" outlineLevel="0" collapsed="false">
      <c r="A18" s="8" t="s">
        <v>27</v>
      </c>
      <c r="B18" s="8" t="n">
        <f aca="false">'Entrada de $'!B16</f>
        <v>0</v>
      </c>
      <c r="C18" s="8" t="n">
        <f aca="false">'Entrada de $'!C16</f>
        <v>0</v>
      </c>
      <c r="D18" s="8" t="n">
        <f aca="false">'Entrada de $'!D16</f>
        <v>0</v>
      </c>
      <c r="E18" s="8" t="n">
        <f aca="false">'Entrada de $'!E16</f>
        <v>1</v>
      </c>
      <c r="F18" s="8" t="n">
        <f aca="false">'Entrada de $'!F16</f>
        <v>1</v>
      </c>
      <c r="G18" s="8" t="n">
        <f aca="false">'Entrada de $'!G16</f>
        <v>1</v>
      </c>
      <c r="H18" s="8" t="n">
        <f aca="false">'Entrada de $'!H16</f>
        <v>2</v>
      </c>
      <c r="I18" s="8" t="n">
        <f aca="false">'Entrada de $'!I16</f>
        <v>2</v>
      </c>
      <c r="J18" s="8" t="n">
        <f aca="false">'Entrada de $'!J16</f>
        <v>2</v>
      </c>
      <c r="K18" s="8" t="n">
        <f aca="false">'Entrada de $'!K16</f>
        <v>3</v>
      </c>
      <c r="L18" s="8" t="n">
        <f aca="false">'Entrada de $'!L16</f>
        <v>3</v>
      </c>
      <c r="M18" s="8" t="n">
        <f aca="false">'Entrada de $'!M16</f>
        <v>3</v>
      </c>
      <c r="N18" s="8" t="n">
        <f aca="false">SUM(B18:M18)</f>
        <v>18</v>
      </c>
    </row>
    <row r="20" customFormat="false" ht="10.5" hidden="false" customHeight="false" outlineLevel="0" collapsed="false">
      <c r="A20" s="17" t="str">
        <f aca="false">"Custo Total de "&amp;InformacoesBasicas!C19</f>
        <v>Custo Total de Comissão de compensação de carbono</v>
      </c>
      <c r="B20" s="18" t="n">
        <f aca="false">B21*B22</f>
        <v>0</v>
      </c>
      <c r="C20" s="18" t="n">
        <f aca="false">C21*C22</f>
        <v>0</v>
      </c>
      <c r="D20" s="18" t="n">
        <f aca="false">D21*D22</f>
        <v>0</v>
      </c>
      <c r="E20" s="18" t="n">
        <f aca="false">E21*E22</f>
        <v>0</v>
      </c>
      <c r="F20" s="18" t="n">
        <f aca="false">F21*F22</f>
        <v>0</v>
      </c>
      <c r="G20" s="18" t="n">
        <f aca="false">G21*G22</f>
        <v>0</v>
      </c>
      <c r="H20" s="18" t="n">
        <f aca="false">H21*H22</f>
        <v>750</v>
      </c>
      <c r="I20" s="18" t="n">
        <f aca="false">I21*I22</f>
        <v>1200</v>
      </c>
      <c r="J20" s="18" t="n">
        <f aca="false">J21*J22</f>
        <v>1800</v>
      </c>
      <c r="K20" s="18" t="n">
        <f aca="false">K21*K22</f>
        <v>2700</v>
      </c>
      <c r="L20" s="18" t="n">
        <f aca="false">L21*L22</f>
        <v>3750</v>
      </c>
      <c r="M20" s="18" t="n">
        <f aca="false">M21*M22</f>
        <v>4800</v>
      </c>
      <c r="N20" s="19" t="n">
        <f aca="false">SUM(B20:M20)</f>
        <v>15000</v>
      </c>
    </row>
    <row r="21" customFormat="false" ht="10.5" hidden="false" customHeight="false" outlineLevel="0" collapsed="false">
      <c r="A21" s="8" t="str">
        <f aca="false">IF(InformacoesBasicas!B10=1,"Custo de Aquisição de ",IF(InformacoesBasicas!B10=2,"Custo de Prestação de Serviço de ",IF(InformacoesBasicas!B10=3,"Custo de Fabricação de ","Custo de")))&amp;InformacoesBasicas!C19</f>
        <v>Custo de Prestação de Serviço de Comissão de compensação de carbono</v>
      </c>
      <c r="B21" s="23" t="n">
        <f aca="false">'Custo Unitário'!B10</f>
        <v>15</v>
      </c>
      <c r="C21" s="23" t="n">
        <f aca="false">$B21</f>
        <v>15</v>
      </c>
      <c r="D21" s="23" t="n">
        <f aca="false">$B21</f>
        <v>15</v>
      </c>
      <c r="E21" s="23" t="n">
        <f aca="false">$B21</f>
        <v>15</v>
      </c>
      <c r="F21" s="23" t="n">
        <f aca="false">$B21</f>
        <v>15</v>
      </c>
      <c r="G21" s="23" t="n">
        <f aca="false">$B21</f>
        <v>15</v>
      </c>
      <c r="H21" s="23" t="n">
        <f aca="false">$B21</f>
        <v>15</v>
      </c>
      <c r="I21" s="23" t="n">
        <f aca="false">$B21</f>
        <v>15</v>
      </c>
      <c r="J21" s="23" t="n">
        <f aca="false">$B21</f>
        <v>15</v>
      </c>
      <c r="K21" s="23" t="n">
        <f aca="false">$B21</f>
        <v>15</v>
      </c>
      <c r="L21" s="23" t="n">
        <f aca="false">$B21</f>
        <v>15</v>
      </c>
      <c r="M21" s="23" t="n">
        <f aca="false">$B21</f>
        <v>15</v>
      </c>
      <c r="N21" s="22" t="n">
        <f aca="false">AVERAGE(B21:L21)</f>
        <v>15</v>
      </c>
    </row>
    <row r="22" customFormat="false" ht="10.5" hidden="false" customHeight="false" outlineLevel="0" collapsed="false">
      <c r="A22" s="8" t="s">
        <v>27</v>
      </c>
      <c r="B22" s="8" t="n">
        <f aca="false">'Entrada de $'!B20</f>
        <v>0</v>
      </c>
      <c r="C22" s="8" t="n">
        <f aca="false">'Entrada de $'!C20</f>
        <v>0</v>
      </c>
      <c r="D22" s="8" t="n">
        <f aca="false">'Entrada de $'!D20</f>
        <v>0</v>
      </c>
      <c r="E22" s="8" t="n">
        <f aca="false">'Entrada de $'!E20</f>
        <v>0</v>
      </c>
      <c r="F22" s="8" t="n">
        <f aca="false">'Entrada de $'!F20</f>
        <v>0</v>
      </c>
      <c r="G22" s="8" t="n">
        <f aca="false">'Entrada de $'!G20</f>
        <v>0</v>
      </c>
      <c r="H22" s="8" t="n">
        <f aca="false">'Entrada de $'!H20</f>
        <v>50</v>
      </c>
      <c r="I22" s="8" t="n">
        <f aca="false">'Entrada de $'!I20</f>
        <v>80</v>
      </c>
      <c r="J22" s="8" t="n">
        <f aca="false">'Entrada de $'!J20</f>
        <v>120</v>
      </c>
      <c r="K22" s="8" t="n">
        <f aca="false">'Entrada de $'!K20</f>
        <v>180</v>
      </c>
      <c r="L22" s="8" t="n">
        <f aca="false">'Entrada de $'!L20</f>
        <v>250</v>
      </c>
      <c r="M22" s="8" t="n">
        <f aca="false">'Entrada de $'!M20</f>
        <v>320</v>
      </c>
      <c r="N22" s="8" t="n">
        <f aca="false">SUM(B22:M22)</f>
        <v>1000</v>
      </c>
    </row>
    <row r="24" customFormat="false" ht="10.5" hidden="false" customHeight="false" outlineLevel="0" collapsed="false">
      <c r="A24" s="17" t="str">
        <f aca="false">"Custo Total de "&amp;InformacoesBasicas!C20</f>
        <v>Custo Total de </v>
      </c>
      <c r="B24" s="18" t="n">
        <f aca="false">B25*B26</f>
        <v>0</v>
      </c>
      <c r="C24" s="18" t="n">
        <f aca="false">C25*C26</f>
        <v>0</v>
      </c>
      <c r="D24" s="18" t="n">
        <f aca="false">D25*D26</f>
        <v>0</v>
      </c>
      <c r="E24" s="18" t="n">
        <f aca="false">E25*E26</f>
        <v>0</v>
      </c>
      <c r="F24" s="18" t="n">
        <f aca="false">F25*F26</f>
        <v>0</v>
      </c>
      <c r="G24" s="18" t="n">
        <f aca="false">G25*G26</f>
        <v>0</v>
      </c>
      <c r="H24" s="18" t="n">
        <f aca="false">H25*H26</f>
        <v>0</v>
      </c>
      <c r="I24" s="18" t="n">
        <f aca="false">I25*I26</f>
        <v>0</v>
      </c>
      <c r="J24" s="18" t="n">
        <f aca="false">J25*J26</f>
        <v>0</v>
      </c>
      <c r="K24" s="18" t="n">
        <f aca="false">K25*K26</f>
        <v>0</v>
      </c>
      <c r="L24" s="18" t="n">
        <f aca="false">L25*L26</f>
        <v>0</v>
      </c>
      <c r="M24" s="18" t="n">
        <f aca="false">M25*M26</f>
        <v>0</v>
      </c>
      <c r="N24" s="19" t="n">
        <f aca="false">SUM(B24:M24)</f>
        <v>0</v>
      </c>
    </row>
    <row r="25" customFormat="false" ht="10.5" hidden="false" customHeight="false" outlineLevel="0" collapsed="false">
      <c r="A25" s="8" t="str">
        <f aca="false">IF(InformacoesBasicas!B10=1,"Custo de Aquisição de ",IF(InformacoesBasicas!B10=2,"Custo de Prestação de Serviço de ",IF(InformacoesBasicas!B10=3,"Custo de Fabricação de ","Custo de")))&amp;InformacoesBasicas!C20</f>
        <v>Custo de Prestação de Serviço de </v>
      </c>
      <c r="B25" s="23" t="n">
        <f aca="false">'Custo Unitário'!B18</f>
        <v>0</v>
      </c>
      <c r="C25" s="23" t="n">
        <f aca="false">$B25</f>
        <v>0</v>
      </c>
      <c r="D25" s="23" t="n">
        <f aca="false">$B25</f>
        <v>0</v>
      </c>
      <c r="E25" s="23" t="n">
        <f aca="false">$B25</f>
        <v>0</v>
      </c>
      <c r="F25" s="23" t="n">
        <f aca="false">$B25</f>
        <v>0</v>
      </c>
      <c r="G25" s="23" t="n">
        <f aca="false">$B25</f>
        <v>0</v>
      </c>
      <c r="H25" s="23" t="n">
        <f aca="false">$B25</f>
        <v>0</v>
      </c>
      <c r="I25" s="23" t="n">
        <f aca="false">$B25</f>
        <v>0</v>
      </c>
      <c r="J25" s="23" t="n">
        <f aca="false">$B25</f>
        <v>0</v>
      </c>
      <c r="K25" s="23" t="n">
        <f aca="false">$B25</f>
        <v>0</v>
      </c>
      <c r="L25" s="23" t="n">
        <f aca="false">$B25</f>
        <v>0</v>
      </c>
      <c r="M25" s="23" t="n">
        <f aca="false">$B25</f>
        <v>0</v>
      </c>
      <c r="N25" s="22" t="n">
        <f aca="false">AVERAGE(B25:L25)</f>
        <v>0</v>
      </c>
    </row>
    <row r="26" customFormat="false" ht="10.5" hidden="false" customHeight="false" outlineLevel="0" collapsed="false">
      <c r="A26" s="8" t="s">
        <v>27</v>
      </c>
      <c r="B26" s="8" t="n">
        <f aca="false">'Entrada de $'!B24</f>
        <v>0</v>
      </c>
      <c r="C26" s="8" t="n">
        <f aca="false">'Entrada de $'!C24</f>
        <v>0</v>
      </c>
      <c r="D26" s="8" t="n">
        <f aca="false">'Entrada de $'!D24</f>
        <v>0</v>
      </c>
      <c r="E26" s="8" t="n">
        <f aca="false">'Entrada de $'!E24</f>
        <v>0</v>
      </c>
      <c r="F26" s="8" t="n">
        <f aca="false">'Entrada de $'!F24</f>
        <v>0</v>
      </c>
      <c r="G26" s="8" t="n">
        <f aca="false">'Entrada de $'!G24</f>
        <v>0</v>
      </c>
      <c r="H26" s="8" t="n">
        <f aca="false">'Entrada de $'!H24</f>
        <v>0</v>
      </c>
      <c r="I26" s="8" t="n">
        <f aca="false">'Entrada de $'!I24</f>
        <v>0</v>
      </c>
      <c r="J26" s="8" t="n">
        <f aca="false">'Entrada de $'!J24</f>
        <v>0</v>
      </c>
      <c r="K26" s="8" t="n">
        <f aca="false">'Entrada de $'!K24</f>
        <v>0</v>
      </c>
      <c r="L26" s="8" t="n">
        <f aca="false">'Entrada de $'!L24</f>
        <v>0</v>
      </c>
      <c r="M26" s="8" t="n">
        <f aca="false">'Entrada de $'!M24</f>
        <v>0</v>
      </c>
      <c r="N26" s="8" t="n">
        <f aca="false">SUM(B26:M26)</f>
        <v>0</v>
      </c>
    </row>
    <row r="28" customFormat="false" ht="10.5" hidden="false" customHeight="false" outlineLevel="0" collapsed="false">
      <c r="A28" s="17" t="str">
        <f aca="false">"Custo Total de "&amp;InformacoesBasicas!C21</f>
        <v>Custo Total de </v>
      </c>
      <c r="B28" s="18" t="n">
        <f aca="false">B29*B30</f>
        <v>0</v>
      </c>
      <c r="C28" s="18" t="n">
        <f aca="false">C29*C30</f>
        <v>0</v>
      </c>
      <c r="D28" s="18" t="n">
        <f aca="false">D29*D30</f>
        <v>0</v>
      </c>
      <c r="E28" s="18" t="n">
        <f aca="false">E29*E30</f>
        <v>0</v>
      </c>
      <c r="F28" s="18" t="n">
        <f aca="false">F29*F30</f>
        <v>0</v>
      </c>
      <c r="G28" s="18" t="n">
        <f aca="false">G29*G30</f>
        <v>0</v>
      </c>
      <c r="H28" s="18" t="n">
        <f aca="false">H29*H30</f>
        <v>0</v>
      </c>
      <c r="I28" s="18" t="n">
        <f aca="false">I29*I30</f>
        <v>0</v>
      </c>
      <c r="J28" s="18" t="n">
        <f aca="false">J29*J30</f>
        <v>0</v>
      </c>
      <c r="K28" s="18" t="n">
        <f aca="false">K29*K30</f>
        <v>0</v>
      </c>
      <c r="L28" s="18" t="n">
        <f aca="false">L29*L30</f>
        <v>0</v>
      </c>
      <c r="M28" s="18" t="n">
        <f aca="false">M29*M30</f>
        <v>0</v>
      </c>
      <c r="N28" s="19" t="n">
        <f aca="false">SUM(B28:M28)</f>
        <v>0</v>
      </c>
    </row>
    <row r="29" customFormat="false" ht="10.5" hidden="false" customHeight="false" outlineLevel="0" collapsed="false">
      <c r="A29" s="8" t="str">
        <f aca="false">IF(InformacoesBasicas!B10=1,"Custo de Aquisição de ",IF(InformacoesBasicas!B10=2,"Custo de Prestação de Serviço de ",IF(InformacoesBasicas!B10=3,"Custo de Fabricação de ","Custo de")))&amp;InformacoesBasicas!C21</f>
        <v>Custo de Prestação de Serviço de </v>
      </c>
      <c r="B29" s="23" t="n">
        <f aca="false">'Custo Unitário'!B22</f>
        <v>0</v>
      </c>
      <c r="C29" s="23" t="n">
        <f aca="false">$B29</f>
        <v>0</v>
      </c>
      <c r="D29" s="23" t="n">
        <f aca="false">$B29</f>
        <v>0</v>
      </c>
      <c r="E29" s="23" t="n">
        <f aca="false">$B29</f>
        <v>0</v>
      </c>
      <c r="F29" s="23" t="n">
        <f aca="false">$B29</f>
        <v>0</v>
      </c>
      <c r="G29" s="23" t="n">
        <f aca="false">$B29</f>
        <v>0</v>
      </c>
      <c r="H29" s="23" t="n">
        <f aca="false">$B29</f>
        <v>0</v>
      </c>
      <c r="I29" s="23" t="n">
        <f aca="false">$B29</f>
        <v>0</v>
      </c>
      <c r="J29" s="23" t="n">
        <f aca="false">$B29</f>
        <v>0</v>
      </c>
      <c r="K29" s="23" t="n">
        <f aca="false">$B29</f>
        <v>0</v>
      </c>
      <c r="L29" s="23" t="n">
        <f aca="false">$B29</f>
        <v>0</v>
      </c>
      <c r="M29" s="23" t="n">
        <f aca="false">$B29</f>
        <v>0</v>
      </c>
      <c r="N29" s="22" t="n">
        <f aca="false">AVERAGE(B29:L29)</f>
        <v>0</v>
      </c>
    </row>
    <row r="30" customFormat="false" ht="10.5" hidden="false" customHeight="false" outlineLevel="0" collapsed="false">
      <c r="A30" s="8" t="s">
        <v>27</v>
      </c>
      <c r="B30" s="8" t="n">
        <f aca="false">'Entrada de $'!B28</f>
        <v>0</v>
      </c>
      <c r="C30" s="8" t="n">
        <f aca="false">'Entrada de $'!C28</f>
        <v>0</v>
      </c>
      <c r="D30" s="8" t="n">
        <f aca="false">'Entrada de $'!D28</f>
        <v>0</v>
      </c>
      <c r="E30" s="8" t="n">
        <f aca="false">'Entrada de $'!E28</f>
        <v>0</v>
      </c>
      <c r="F30" s="8" t="n">
        <f aca="false">'Entrada de $'!F28</f>
        <v>0</v>
      </c>
      <c r="G30" s="8" t="n">
        <f aca="false">'Entrada de $'!G28</f>
        <v>0</v>
      </c>
      <c r="H30" s="8" t="n">
        <f aca="false">'Entrada de $'!H28</f>
        <v>0</v>
      </c>
      <c r="I30" s="8" t="n">
        <f aca="false">'Entrada de $'!I28</f>
        <v>0</v>
      </c>
      <c r="J30" s="8" t="n">
        <f aca="false">'Entrada de $'!J28</f>
        <v>0</v>
      </c>
      <c r="K30" s="8" t="n">
        <f aca="false">'Entrada de $'!K28</f>
        <v>0</v>
      </c>
      <c r="L30" s="8" t="n">
        <f aca="false">'Entrada de $'!L28</f>
        <v>0</v>
      </c>
      <c r="M30" s="8" t="n">
        <f aca="false">'Entrada de $'!M28</f>
        <v>0</v>
      </c>
      <c r="N30" s="8" t="n">
        <f aca="false">SUM(B30:M30)</f>
        <v>0</v>
      </c>
    </row>
    <row r="32" customFormat="false" ht="10.5" hidden="false" customHeight="false" outlineLevel="0" collapsed="false">
      <c r="A32" s="17" t="str">
        <f aca="false">"Custo Total de "&amp;InformacoesBasicas!C22</f>
        <v>Custo Total de </v>
      </c>
      <c r="B32" s="18" t="n">
        <f aca="false">B33*B34</f>
        <v>0</v>
      </c>
      <c r="C32" s="18" t="n">
        <f aca="false">C33*C34</f>
        <v>0</v>
      </c>
      <c r="D32" s="18" t="n">
        <f aca="false">D33*D34</f>
        <v>0</v>
      </c>
      <c r="E32" s="18" t="n">
        <f aca="false">E33*E34</f>
        <v>0</v>
      </c>
      <c r="F32" s="18" t="n">
        <f aca="false">F33*F34</f>
        <v>0</v>
      </c>
      <c r="G32" s="18" t="n">
        <f aca="false">G33*G34</f>
        <v>0</v>
      </c>
      <c r="H32" s="18" t="n">
        <f aca="false">H33*H34</f>
        <v>0</v>
      </c>
      <c r="I32" s="18" t="n">
        <f aca="false">I33*I34</f>
        <v>0</v>
      </c>
      <c r="J32" s="18" t="n">
        <f aca="false">J33*J34</f>
        <v>0</v>
      </c>
      <c r="K32" s="18" t="n">
        <f aca="false">K33*K34</f>
        <v>0</v>
      </c>
      <c r="L32" s="18" t="n">
        <f aca="false">L33*L34</f>
        <v>0</v>
      </c>
      <c r="M32" s="18" t="n">
        <f aca="false">M33*M34</f>
        <v>0</v>
      </c>
      <c r="N32" s="19" t="n">
        <f aca="false">SUM(B32:M32)</f>
        <v>0</v>
      </c>
    </row>
    <row r="33" customFormat="false" ht="10.5" hidden="false" customHeight="false" outlineLevel="0" collapsed="false">
      <c r="A33" s="8" t="str">
        <f aca="false">IF(InformacoesBasicas!B10=1,"Custo de Aquisição de ",IF(InformacoesBasicas!B10=2,"Custo de Prestação de Serviço de ",IF(InformacoesBasicas!B10=3,"Custo de Fabricação de ","Custo de")))&amp;InformacoesBasicas!C22</f>
        <v>Custo de Prestação de Serviço de </v>
      </c>
      <c r="B33" s="23" t="n">
        <f aca="false">'Custo Unitário'!B26</f>
        <v>0</v>
      </c>
      <c r="C33" s="23" t="n">
        <f aca="false">$B33</f>
        <v>0</v>
      </c>
      <c r="D33" s="23" t="n">
        <f aca="false">$B33</f>
        <v>0</v>
      </c>
      <c r="E33" s="23" t="n">
        <f aca="false">$B33</f>
        <v>0</v>
      </c>
      <c r="F33" s="23" t="n">
        <f aca="false">$B33</f>
        <v>0</v>
      </c>
      <c r="G33" s="23" t="n">
        <f aca="false">$B33</f>
        <v>0</v>
      </c>
      <c r="H33" s="23" t="n">
        <f aca="false">$B33</f>
        <v>0</v>
      </c>
      <c r="I33" s="23" t="n">
        <f aca="false">$B33</f>
        <v>0</v>
      </c>
      <c r="J33" s="23" t="n">
        <f aca="false">$B33</f>
        <v>0</v>
      </c>
      <c r="K33" s="23" t="n">
        <f aca="false">$B33</f>
        <v>0</v>
      </c>
      <c r="L33" s="23" t="n">
        <f aca="false">$B33</f>
        <v>0</v>
      </c>
      <c r="M33" s="23" t="n">
        <f aca="false">$B33</f>
        <v>0</v>
      </c>
      <c r="N33" s="22" t="n">
        <f aca="false">AVERAGE(B33:L33)</f>
        <v>0</v>
      </c>
    </row>
    <row r="34" customFormat="false" ht="10.5" hidden="false" customHeight="false" outlineLevel="0" collapsed="false">
      <c r="A34" s="8" t="s">
        <v>27</v>
      </c>
      <c r="B34" s="8" t="n">
        <f aca="false">'Entrada de $'!B32</f>
        <v>0</v>
      </c>
      <c r="C34" s="8" t="n">
        <f aca="false">'Entrada de $'!C32</f>
        <v>0</v>
      </c>
      <c r="D34" s="8" t="n">
        <f aca="false">'Entrada de $'!D32</f>
        <v>0</v>
      </c>
      <c r="E34" s="8" t="n">
        <f aca="false">'Entrada de $'!E32</f>
        <v>0</v>
      </c>
      <c r="F34" s="8" t="n">
        <f aca="false">'Entrada de $'!F32</f>
        <v>0</v>
      </c>
      <c r="G34" s="8" t="n">
        <f aca="false">'Entrada de $'!G32</f>
        <v>0</v>
      </c>
      <c r="H34" s="8" t="n">
        <f aca="false">'Entrada de $'!H32</f>
        <v>0</v>
      </c>
      <c r="I34" s="8" t="n">
        <f aca="false">'Entrada de $'!I32</f>
        <v>0</v>
      </c>
      <c r="J34" s="8" t="n">
        <f aca="false">'Entrada de $'!J32</f>
        <v>0</v>
      </c>
      <c r="K34" s="8" t="n">
        <f aca="false">'Entrada de $'!K32</f>
        <v>0</v>
      </c>
      <c r="L34" s="8" t="n">
        <f aca="false">'Entrada de $'!L32</f>
        <v>0</v>
      </c>
      <c r="M34" s="8" t="n">
        <f aca="false">'Entrada de $'!M32</f>
        <v>0</v>
      </c>
      <c r="N34" s="8" t="n">
        <f aca="false">SUM(B34:M34)</f>
        <v>0</v>
      </c>
    </row>
    <row r="36" customFormat="false" ht="10.5" hidden="false" customHeight="false" outlineLevel="0" collapsed="false">
      <c r="A36" s="17" t="str">
        <f aca="false">"Custo Total de "&amp;InformacoesBasicas!C23</f>
        <v>Custo Total de </v>
      </c>
      <c r="B36" s="18" t="n">
        <f aca="false">B37*B38</f>
        <v>0</v>
      </c>
      <c r="C36" s="18" t="n">
        <f aca="false">C37*C38</f>
        <v>0</v>
      </c>
      <c r="D36" s="18" t="n">
        <f aca="false">D37*D38</f>
        <v>0</v>
      </c>
      <c r="E36" s="18" t="n">
        <f aca="false">E37*E38</f>
        <v>0</v>
      </c>
      <c r="F36" s="18" t="n">
        <f aca="false">F37*F38</f>
        <v>0</v>
      </c>
      <c r="G36" s="18" t="n">
        <f aca="false">G37*G38</f>
        <v>0</v>
      </c>
      <c r="H36" s="18" t="n">
        <f aca="false">H37*H38</f>
        <v>0</v>
      </c>
      <c r="I36" s="18" t="n">
        <f aca="false">I37*I38</f>
        <v>0</v>
      </c>
      <c r="J36" s="18" t="n">
        <f aca="false">J37*J38</f>
        <v>0</v>
      </c>
      <c r="K36" s="18" t="n">
        <f aca="false">K37*K38</f>
        <v>0</v>
      </c>
      <c r="L36" s="18" t="n">
        <f aca="false">L37*L38</f>
        <v>0</v>
      </c>
      <c r="M36" s="18" t="n">
        <f aca="false">M37*M38</f>
        <v>0</v>
      </c>
      <c r="N36" s="19" t="n">
        <f aca="false">SUM(B36:M36)</f>
        <v>0</v>
      </c>
    </row>
    <row r="37" customFormat="false" ht="10.5" hidden="false" customHeight="false" outlineLevel="0" collapsed="false">
      <c r="A37" s="8" t="str">
        <f aca="false">IF(InformacoesBasicas!B10=1,"Custo de Aquisição de ",IF(InformacoesBasicas!B10=2,"Custo de Prestação de Serviço de ",IF(InformacoesBasicas!B10=3,"Custo de Fabricação de ","Custo de")))&amp;InformacoesBasicas!C23</f>
        <v>Custo de Prestação de Serviço de </v>
      </c>
      <c r="B37" s="23" t="n">
        <f aca="false">'Custo Unitário'!B30</f>
        <v>0</v>
      </c>
      <c r="C37" s="23" t="n">
        <f aca="false">$B37</f>
        <v>0</v>
      </c>
      <c r="D37" s="23" t="n">
        <f aca="false">$B37</f>
        <v>0</v>
      </c>
      <c r="E37" s="23" t="n">
        <f aca="false">$B37</f>
        <v>0</v>
      </c>
      <c r="F37" s="23" t="n">
        <f aca="false">$B37</f>
        <v>0</v>
      </c>
      <c r="G37" s="23" t="n">
        <f aca="false">$B37</f>
        <v>0</v>
      </c>
      <c r="H37" s="23" t="n">
        <f aca="false">$B37</f>
        <v>0</v>
      </c>
      <c r="I37" s="23" t="n">
        <f aca="false">$B37</f>
        <v>0</v>
      </c>
      <c r="J37" s="23" t="n">
        <f aca="false">$B37</f>
        <v>0</v>
      </c>
      <c r="K37" s="23" t="n">
        <f aca="false">$B37</f>
        <v>0</v>
      </c>
      <c r="L37" s="23" t="n">
        <f aca="false">$B37</f>
        <v>0</v>
      </c>
      <c r="M37" s="23" t="n">
        <f aca="false">$B37</f>
        <v>0</v>
      </c>
      <c r="N37" s="22" t="n">
        <f aca="false">AVERAGE(B37:L37)</f>
        <v>0</v>
      </c>
    </row>
    <row r="38" customFormat="false" ht="10.5" hidden="false" customHeight="false" outlineLevel="0" collapsed="false">
      <c r="A38" s="8" t="s">
        <v>27</v>
      </c>
      <c r="B38" s="8" t="n">
        <f aca="false">'Entrada de $'!B36</f>
        <v>0</v>
      </c>
      <c r="C38" s="8" t="n">
        <f aca="false">'Entrada de $'!C36</f>
        <v>0</v>
      </c>
      <c r="D38" s="8" t="n">
        <f aca="false">'Entrada de $'!D36</f>
        <v>0</v>
      </c>
      <c r="E38" s="8" t="n">
        <f aca="false">'Entrada de $'!E36</f>
        <v>0</v>
      </c>
      <c r="F38" s="8" t="n">
        <f aca="false">'Entrada de $'!F36</f>
        <v>0</v>
      </c>
      <c r="G38" s="8" t="n">
        <f aca="false">'Entrada de $'!G36</f>
        <v>0</v>
      </c>
      <c r="H38" s="8" t="n">
        <f aca="false">'Entrada de $'!H36</f>
        <v>0</v>
      </c>
      <c r="I38" s="8" t="n">
        <f aca="false">'Entrada de $'!I36</f>
        <v>0</v>
      </c>
      <c r="J38" s="8" t="n">
        <f aca="false">'Entrada de $'!J36</f>
        <v>0</v>
      </c>
      <c r="K38" s="8" t="n">
        <f aca="false">'Entrada de $'!K36</f>
        <v>0</v>
      </c>
      <c r="L38" s="8" t="n">
        <f aca="false">'Entrada de $'!L36</f>
        <v>0</v>
      </c>
      <c r="M38" s="8" t="n">
        <f aca="false">'Entrada de $'!M36</f>
        <v>0</v>
      </c>
      <c r="N38" s="8" t="n">
        <f aca="false">SUM(B38:M38)</f>
        <v>0</v>
      </c>
    </row>
    <row r="40" customFormat="false" ht="10.5" hidden="false" customHeight="false" outlineLevel="0" collapsed="false">
      <c r="A40" s="17" t="str">
        <f aca="false">"Custo Total de "&amp;InformacoesBasicas!C24</f>
        <v>Custo Total de </v>
      </c>
      <c r="B40" s="18" t="n">
        <f aca="false">B41*B42</f>
        <v>0</v>
      </c>
      <c r="C40" s="18" t="n">
        <f aca="false">C41*C42</f>
        <v>0</v>
      </c>
      <c r="D40" s="18" t="n">
        <f aca="false">D41*D42</f>
        <v>0</v>
      </c>
      <c r="E40" s="18" t="n">
        <f aca="false">E41*E42</f>
        <v>0</v>
      </c>
      <c r="F40" s="18" t="n">
        <f aca="false">F41*F42</f>
        <v>0</v>
      </c>
      <c r="G40" s="18" t="n">
        <f aca="false">G41*G42</f>
        <v>0</v>
      </c>
      <c r="H40" s="18" t="n">
        <f aca="false">H41*H42</f>
        <v>0</v>
      </c>
      <c r="I40" s="18" t="n">
        <f aca="false">I41*I42</f>
        <v>0</v>
      </c>
      <c r="J40" s="18" t="n">
        <f aca="false">J41*J42</f>
        <v>0</v>
      </c>
      <c r="K40" s="18" t="n">
        <f aca="false">K41*K42</f>
        <v>0</v>
      </c>
      <c r="L40" s="18" t="n">
        <f aca="false">L41*L42</f>
        <v>0</v>
      </c>
      <c r="M40" s="18" t="n">
        <f aca="false">M41*M42</f>
        <v>0</v>
      </c>
      <c r="N40" s="19" t="n">
        <f aca="false">SUM(B40:M40)</f>
        <v>0</v>
      </c>
    </row>
    <row r="41" customFormat="false" ht="10.5" hidden="false" customHeight="false" outlineLevel="0" collapsed="false">
      <c r="A41" s="8" t="str">
        <f aca="false">IF(InformacoesBasicas!B10=1,"Custo de Aquisição de ",IF(InformacoesBasicas!B10=2,"Custo de Prestação de Serviço de ",IF(InformacoesBasicas!B10=3,"Custo de Fabricação de ","Custo de")))&amp;InformacoesBasicas!C24</f>
        <v>Custo de Prestação de Serviço de </v>
      </c>
      <c r="B41" s="23" t="n">
        <f aca="false">'Custo Unitário'!B34</f>
        <v>0</v>
      </c>
      <c r="C41" s="23" t="n">
        <f aca="false">$B41</f>
        <v>0</v>
      </c>
      <c r="D41" s="23" t="n">
        <f aca="false">$B41</f>
        <v>0</v>
      </c>
      <c r="E41" s="23" t="n">
        <f aca="false">$B41</f>
        <v>0</v>
      </c>
      <c r="F41" s="23" t="n">
        <f aca="false">$B41</f>
        <v>0</v>
      </c>
      <c r="G41" s="23" t="n">
        <f aca="false">$B41</f>
        <v>0</v>
      </c>
      <c r="H41" s="23" t="n">
        <f aca="false">$B41</f>
        <v>0</v>
      </c>
      <c r="I41" s="23" t="n">
        <f aca="false">$B41</f>
        <v>0</v>
      </c>
      <c r="J41" s="23" t="n">
        <f aca="false">$B41</f>
        <v>0</v>
      </c>
      <c r="K41" s="23" t="n">
        <f aca="false">$B41</f>
        <v>0</v>
      </c>
      <c r="L41" s="23" t="n">
        <f aca="false">$B41</f>
        <v>0</v>
      </c>
      <c r="M41" s="23" t="n">
        <f aca="false">$B41</f>
        <v>0</v>
      </c>
      <c r="N41" s="22" t="n">
        <f aca="false">AVERAGE(B41:L41)</f>
        <v>0</v>
      </c>
    </row>
    <row r="42" customFormat="false" ht="10.5" hidden="false" customHeight="false" outlineLevel="0" collapsed="false">
      <c r="A42" s="8" t="s">
        <v>27</v>
      </c>
      <c r="B42" s="8" t="n">
        <f aca="false">'Entrada de $'!B40</f>
        <v>0</v>
      </c>
      <c r="C42" s="8" t="n">
        <f aca="false">'Entrada de $'!C40</f>
        <v>0</v>
      </c>
      <c r="D42" s="8" t="n">
        <f aca="false">'Entrada de $'!D40</f>
        <v>0</v>
      </c>
      <c r="E42" s="8" t="n">
        <f aca="false">'Entrada de $'!E40</f>
        <v>0</v>
      </c>
      <c r="F42" s="8" t="n">
        <f aca="false">'Entrada de $'!F40</f>
        <v>0</v>
      </c>
      <c r="G42" s="8" t="n">
        <f aca="false">'Entrada de $'!G40</f>
        <v>0</v>
      </c>
      <c r="H42" s="8" t="n">
        <f aca="false">'Entrada de $'!H40</f>
        <v>0</v>
      </c>
      <c r="I42" s="8" t="n">
        <f aca="false">'Entrada de $'!I40</f>
        <v>0</v>
      </c>
      <c r="J42" s="8" t="n">
        <f aca="false">'Entrada de $'!J40</f>
        <v>0</v>
      </c>
      <c r="K42" s="8" t="n">
        <f aca="false">'Entrada de $'!K40</f>
        <v>0</v>
      </c>
      <c r="L42" s="8" t="n">
        <f aca="false">'Entrada de $'!L40</f>
        <v>0</v>
      </c>
      <c r="M42" s="8" t="n">
        <f aca="false">'Entrada de $'!M40</f>
        <v>0</v>
      </c>
      <c r="N42" s="8" t="n">
        <f aca="false">SUM(B42:M42)</f>
        <v>0</v>
      </c>
    </row>
    <row r="44" customFormat="false" ht="10.5" hidden="false" customHeight="false" outlineLevel="0" collapsed="false">
      <c r="A44" s="17" t="str">
        <f aca="false">"Custo Total de "&amp;InformacoesBasicas!C25</f>
        <v>Custo Total de </v>
      </c>
      <c r="B44" s="18" t="n">
        <f aca="false">B45*B46</f>
        <v>0</v>
      </c>
      <c r="C44" s="18" t="n">
        <f aca="false">C45*C46</f>
        <v>0</v>
      </c>
      <c r="D44" s="18" t="n">
        <f aca="false">D45*D46</f>
        <v>0</v>
      </c>
      <c r="E44" s="18" t="n">
        <f aca="false">E45*E46</f>
        <v>0</v>
      </c>
      <c r="F44" s="18" t="n">
        <f aca="false">F45*F46</f>
        <v>0</v>
      </c>
      <c r="G44" s="18" t="n">
        <f aca="false">G45*G46</f>
        <v>0</v>
      </c>
      <c r="H44" s="18" t="n">
        <f aca="false">H45*H46</f>
        <v>0</v>
      </c>
      <c r="I44" s="18" t="n">
        <f aca="false">I45*I46</f>
        <v>0</v>
      </c>
      <c r="J44" s="18" t="n">
        <f aca="false">J45*J46</f>
        <v>0</v>
      </c>
      <c r="K44" s="18" t="n">
        <f aca="false">K45*K46</f>
        <v>0</v>
      </c>
      <c r="L44" s="18" t="n">
        <f aca="false">L45*L46</f>
        <v>0</v>
      </c>
      <c r="M44" s="18" t="n">
        <f aca="false">M45*M46</f>
        <v>0</v>
      </c>
      <c r="N44" s="19" t="n">
        <f aca="false">SUM(B44:M44)</f>
        <v>0</v>
      </c>
    </row>
    <row r="45" customFormat="false" ht="10.5" hidden="false" customHeight="false" outlineLevel="0" collapsed="false">
      <c r="A45" s="8" t="str">
        <f aca="false">IF(InformacoesBasicas!B10=1,"Custo de Aquisição de ",IF(InformacoesBasicas!B10=2,"Custo de Prestação de Serviço de ",IF(InformacoesBasicas!B10=3,"Custo de Fabricação de ","Custo de")))&amp;InformacoesBasicas!C25</f>
        <v>Custo de Prestação de Serviço de </v>
      </c>
      <c r="B45" s="23" t="n">
        <f aca="false">'Custo Unitário'!B38</f>
        <v>0</v>
      </c>
      <c r="C45" s="23" t="n">
        <f aca="false">$B45</f>
        <v>0</v>
      </c>
      <c r="D45" s="23" t="n">
        <f aca="false">$B45</f>
        <v>0</v>
      </c>
      <c r="E45" s="23" t="n">
        <f aca="false">$B45</f>
        <v>0</v>
      </c>
      <c r="F45" s="23" t="n">
        <f aca="false">$B45</f>
        <v>0</v>
      </c>
      <c r="G45" s="23" t="n">
        <f aca="false">$B45</f>
        <v>0</v>
      </c>
      <c r="H45" s="23" t="n">
        <f aca="false">$B45</f>
        <v>0</v>
      </c>
      <c r="I45" s="23" t="n">
        <f aca="false">$B45</f>
        <v>0</v>
      </c>
      <c r="J45" s="23" t="n">
        <f aca="false">$B45</f>
        <v>0</v>
      </c>
      <c r="K45" s="23" t="n">
        <f aca="false">$B45</f>
        <v>0</v>
      </c>
      <c r="L45" s="23" t="n">
        <f aca="false">$B45</f>
        <v>0</v>
      </c>
      <c r="M45" s="23" t="n">
        <f aca="false">$B45</f>
        <v>0</v>
      </c>
      <c r="N45" s="22" t="n">
        <f aca="false">AVERAGE(B45:L45)</f>
        <v>0</v>
      </c>
    </row>
    <row r="46" customFormat="false" ht="10.5" hidden="false" customHeight="false" outlineLevel="0" collapsed="false">
      <c r="A46" s="8" t="s">
        <v>27</v>
      </c>
      <c r="B46" s="8" t="n">
        <f aca="false">'Entrada de $'!B44</f>
        <v>0</v>
      </c>
      <c r="C46" s="8" t="n">
        <f aca="false">'Entrada de $'!C44</f>
        <v>0</v>
      </c>
      <c r="D46" s="8" t="n">
        <f aca="false">'Entrada de $'!D44</f>
        <v>0</v>
      </c>
      <c r="E46" s="8" t="n">
        <f aca="false">'Entrada de $'!E44</f>
        <v>0</v>
      </c>
      <c r="F46" s="8" t="n">
        <f aca="false">'Entrada de $'!F44</f>
        <v>0</v>
      </c>
      <c r="G46" s="8" t="n">
        <f aca="false">'Entrada de $'!G44</f>
        <v>0</v>
      </c>
      <c r="H46" s="8" t="n">
        <f aca="false">'Entrada de $'!H44</f>
        <v>0</v>
      </c>
      <c r="I46" s="8" t="n">
        <f aca="false">'Entrada de $'!I44</f>
        <v>0</v>
      </c>
      <c r="J46" s="8" t="n">
        <f aca="false">'Entrada de $'!J44</f>
        <v>0</v>
      </c>
      <c r="K46" s="8" t="n">
        <f aca="false">'Entrada de $'!K44</f>
        <v>0</v>
      </c>
      <c r="L46" s="8" t="n">
        <f aca="false">'Entrada de $'!L44</f>
        <v>0</v>
      </c>
      <c r="M46" s="8" t="n">
        <f aca="false">'Entrada de $'!M44</f>
        <v>0</v>
      </c>
      <c r="N46" s="8" t="n">
        <f aca="false">SUM(B46:M46)</f>
        <v>0</v>
      </c>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0.5" zeroHeight="false" outlineLevelRow="0" outlineLevelCol="0"/>
  <cols>
    <col collapsed="false" customWidth="true" hidden="false" outlineLevel="0" max="1" min="1" style="24" width="27.84"/>
    <col collapsed="false" customWidth="true" hidden="false" outlineLevel="0" max="2" min="2" style="23" width="10.99"/>
    <col collapsed="false" customWidth="true" hidden="false" outlineLevel="0" max="3" min="3" style="23" width="11.16"/>
    <col collapsed="false" customWidth="true" hidden="false" outlineLevel="0" max="15" min="4" style="23" width="10.99"/>
    <col collapsed="false" customWidth="true" hidden="false" outlineLevel="0" max="16" min="16" style="22" width="15.49"/>
    <col collapsed="false" customWidth="false" hidden="false" outlineLevel="0" max="1024" min="17" style="24" width="8.83"/>
  </cols>
  <sheetData>
    <row r="1" customFormat="false" ht="15.75" hidden="false" customHeight="true" outlineLevel="0" collapsed="false">
      <c r="A1" s="10" t="s">
        <v>31</v>
      </c>
    </row>
    <row r="4" s="27" customFormat="true" ht="24" hidden="false" customHeight="true" outlineLevel="0" collapsed="false">
      <c r="A4" s="25" t="s">
        <v>24</v>
      </c>
      <c r="B4" s="25" t="n">
        <v>0</v>
      </c>
      <c r="C4" s="25"/>
      <c r="D4" s="25" t="n">
        <v>1</v>
      </c>
      <c r="E4" s="25" t="n">
        <v>2</v>
      </c>
      <c r="F4" s="25" t="n">
        <v>3</v>
      </c>
      <c r="G4" s="25" t="n">
        <v>4</v>
      </c>
      <c r="H4" s="25" t="n">
        <v>5</v>
      </c>
      <c r="I4" s="25" t="n">
        <v>6</v>
      </c>
      <c r="J4" s="25" t="n">
        <v>7</v>
      </c>
      <c r="K4" s="25" t="n">
        <v>8</v>
      </c>
      <c r="L4" s="25" t="n">
        <v>9</v>
      </c>
      <c r="M4" s="25" t="n">
        <v>10</v>
      </c>
      <c r="N4" s="25" t="n">
        <v>11</v>
      </c>
      <c r="O4" s="25" t="n">
        <v>12</v>
      </c>
      <c r="P4" s="26" t="s">
        <v>32</v>
      </c>
    </row>
    <row r="5" customFormat="false" ht="10.5" hidden="false" customHeight="false" outlineLevel="0" collapsed="false">
      <c r="A5" s="28" t="s">
        <v>33</v>
      </c>
      <c r="B5" s="15" t="n">
        <f aca="false">B8</f>
        <v>143800</v>
      </c>
      <c r="C5" s="15"/>
      <c r="D5" s="15" t="n">
        <f aca="false">D22</f>
        <v>14470</v>
      </c>
      <c r="E5" s="15" t="n">
        <f aca="false">E22</f>
        <v>14470</v>
      </c>
      <c r="F5" s="15" t="n">
        <f aca="false">F22</f>
        <v>14610</v>
      </c>
      <c r="G5" s="15" t="n">
        <f aca="false">G22</f>
        <v>16200</v>
      </c>
      <c r="H5" s="15" t="n">
        <f aca="false">H22</f>
        <v>16650</v>
      </c>
      <c r="I5" s="15" t="n">
        <f aca="false">I22</f>
        <v>16860</v>
      </c>
      <c r="J5" s="15" t="n">
        <f aca="false">J22</f>
        <v>22030</v>
      </c>
      <c r="K5" s="15" t="n">
        <f aca="false">K22</f>
        <v>22200</v>
      </c>
      <c r="L5" s="15" t="n">
        <f aca="false">L22</f>
        <v>24280</v>
      </c>
      <c r="M5" s="15" t="n">
        <f aca="false">M22</f>
        <v>24480</v>
      </c>
      <c r="N5" s="15" t="n">
        <f aca="false">N22</f>
        <v>24690</v>
      </c>
      <c r="O5" s="15" t="n">
        <f aca="false">O22</f>
        <v>24900</v>
      </c>
      <c r="P5" s="16" t="n">
        <f aca="false">SUM(D5:O5)</f>
        <v>235840</v>
      </c>
    </row>
    <row r="7" customFormat="false" ht="10.5" hidden="false" customHeight="false" outlineLevel="0" collapsed="false">
      <c r="C7" s="25" t="s">
        <v>34</v>
      </c>
    </row>
    <row r="8" customFormat="false" ht="10.5" hidden="false" customHeight="false" outlineLevel="0" collapsed="false">
      <c r="A8" s="29" t="s">
        <v>35</v>
      </c>
      <c r="B8" s="18" t="n">
        <f aca="false">SUM(B9:B20)</f>
        <v>143800</v>
      </c>
    </row>
    <row r="9" customFormat="false" ht="10.5" hidden="false" customHeight="false" outlineLevel="0" collapsed="false">
      <c r="A9" s="24" t="s">
        <v>36</v>
      </c>
      <c r="B9" s="21" t="n">
        <v>1800</v>
      </c>
    </row>
    <row r="10" customFormat="false" ht="10.5" hidden="false" customHeight="false" outlineLevel="0" collapsed="false">
      <c r="A10" s="24" t="s">
        <v>37</v>
      </c>
      <c r="B10" s="21" t="n">
        <v>12000</v>
      </c>
      <c r="C10" s="23" t="n">
        <f aca="false">B10*0.2</f>
        <v>2400</v>
      </c>
    </row>
    <row r="11" customFormat="false" ht="10.5" hidden="false" customHeight="false" outlineLevel="0" collapsed="false">
      <c r="A11" s="24" t="s">
        <v>38</v>
      </c>
      <c r="B11" s="21" t="n">
        <v>0</v>
      </c>
      <c r="C11" s="23" t="n">
        <f aca="false">B11*0.01</f>
        <v>0</v>
      </c>
    </row>
    <row r="12" customFormat="false" ht="10.5" hidden="false" customHeight="false" outlineLevel="0" collapsed="false">
      <c r="A12" s="24" t="s">
        <v>39</v>
      </c>
      <c r="B12" s="21" t="n">
        <v>3000</v>
      </c>
      <c r="C12" s="23" t="n">
        <f aca="false">B12*0.2</f>
        <v>600</v>
      </c>
    </row>
    <row r="13" customFormat="false" ht="10.5" hidden="false" customHeight="false" outlineLevel="0" collapsed="false">
      <c r="A13" s="24" t="s">
        <v>40</v>
      </c>
      <c r="B13" s="21" t="n">
        <v>0</v>
      </c>
    </row>
    <row r="14" customFormat="false" ht="10.5" hidden="false" customHeight="false" outlineLevel="0" collapsed="false">
      <c r="A14" s="24" t="s">
        <v>41</v>
      </c>
      <c r="B14" s="21" t="n">
        <v>2500</v>
      </c>
      <c r="D14" s="24"/>
    </row>
    <row r="15" customFormat="false" ht="10.5" hidden="false" customHeight="false" outlineLevel="0" collapsed="false">
      <c r="A15" s="24" t="s">
        <v>42</v>
      </c>
      <c r="B15" s="21" t="n">
        <v>3500</v>
      </c>
      <c r="D15" s="24"/>
    </row>
    <row r="16" customFormat="false" ht="10.5" hidden="false" customHeight="false" outlineLevel="0" collapsed="false">
      <c r="A16" s="24" t="s">
        <v>43</v>
      </c>
      <c r="B16" s="21" t="n">
        <v>45000</v>
      </c>
      <c r="D16" s="24"/>
    </row>
    <row r="17" customFormat="false" ht="10.5" hidden="false" customHeight="false" outlineLevel="0" collapsed="false">
      <c r="A17" s="24" t="s">
        <v>44</v>
      </c>
      <c r="B17" s="21" t="n">
        <v>38000</v>
      </c>
      <c r="D17" s="24"/>
    </row>
    <row r="18" customFormat="false" ht="10.5" hidden="false" customHeight="false" outlineLevel="0" collapsed="false">
      <c r="A18" s="24" t="s">
        <v>45</v>
      </c>
      <c r="B18" s="21" t="n">
        <v>6000</v>
      </c>
      <c r="D18" s="24"/>
    </row>
    <row r="19" customFormat="false" ht="10.5" hidden="false" customHeight="false" outlineLevel="0" collapsed="false">
      <c r="A19" s="24" t="s">
        <v>46</v>
      </c>
      <c r="B19" s="21" t="n">
        <v>32000</v>
      </c>
      <c r="D19" s="24"/>
    </row>
    <row r="20" customFormat="false" ht="10.5" hidden="false" customHeight="false" outlineLevel="0" collapsed="false">
      <c r="B20" s="21"/>
      <c r="D20" s="24"/>
    </row>
    <row r="22" customFormat="false" ht="10.5" hidden="false" customHeight="false" outlineLevel="0" collapsed="false">
      <c r="A22" s="29" t="s">
        <v>47</v>
      </c>
      <c r="D22" s="18" t="n">
        <f aca="false">SUM(D23:D34)</f>
        <v>14470</v>
      </c>
      <c r="E22" s="18" t="n">
        <f aca="false">SUM(E23:E34)</f>
        <v>14470</v>
      </c>
      <c r="F22" s="18" t="n">
        <f aca="false">SUM(F23:F34)</f>
        <v>14610</v>
      </c>
      <c r="G22" s="18" t="n">
        <f aca="false">SUM(G23:G34)</f>
        <v>16200</v>
      </c>
      <c r="H22" s="18" t="n">
        <f aca="false">SUM(H23:H34)</f>
        <v>16650</v>
      </c>
      <c r="I22" s="18" t="n">
        <f aca="false">SUM(I23:I34)</f>
        <v>16860</v>
      </c>
      <c r="J22" s="18" t="n">
        <f aca="false">SUM(J23:J34)</f>
        <v>22030</v>
      </c>
      <c r="K22" s="18" t="n">
        <f aca="false">SUM(K23:K34)</f>
        <v>22200</v>
      </c>
      <c r="L22" s="18" t="n">
        <f aca="false">SUM(L23:L34)</f>
        <v>24280</v>
      </c>
      <c r="M22" s="18" t="n">
        <f aca="false">SUM(M23:M34)</f>
        <v>24480</v>
      </c>
      <c r="N22" s="18" t="n">
        <f aca="false">SUM(N23:N34)</f>
        <v>24690</v>
      </c>
      <c r="O22" s="18" t="n">
        <f aca="false">SUM(O23:O34)</f>
        <v>24900</v>
      </c>
      <c r="P22" s="19" t="n">
        <f aca="false">SUM(D22:O22)</f>
        <v>235840</v>
      </c>
    </row>
    <row r="23" customFormat="false" ht="10.5" hidden="false" customHeight="false" outlineLevel="0" collapsed="false">
      <c r="A23" s="24" t="s">
        <v>48</v>
      </c>
      <c r="D23" s="30" t="n">
        <v>8000</v>
      </c>
      <c r="E23" s="30" t="n">
        <v>8000</v>
      </c>
      <c r="F23" s="30" t="n">
        <v>8000</v>
      </c>
      <c r="G23" s="30" t="n">
        <v>8000</v>
      </c>
      <c r="H23" s="30" t="n">
        <v>8000</v>
      </c>
      <c r="I23" s="30" t="n">
        <v>8000</v>
      </c>
      <c r="J23" s="30" t="n">
        <v>12000</v>
      </c>
      <c r="K23" s="30" t="n">
        <v>12000</v>
      </c>
      <c r="L23" s="30" t="n">
        <v>12000</v>
      </c>
      <c r="M23" s="30" t="n">
        <v>12000</v>
      </c>
      <c r="N23" s="30" t="n">
        <v>12000</v>
      </c>
      <c r="O23" s="30" t="n">
        <v>12000</v>
      </c>
      <c r="P23" s="22" t="n">
        <f aca="false">SUM(D23:O23)</f>
        <v>120000</v>
      </c>
    </row>
    <row r="24" customFormat="false" ht="10.5" hidden="false" customHeight="false" outlineLevel="0" collapsed="false">
      <c r="A24" s="24" t="s">
        <v>49</v>
      </c>
      <c r="D24" s="30" t="n">
        <v>2500</v>
      </c>
      <c r="E24" s="30" t="n">
        <v>2500</v>
      </c>
      <c r="F24" s="30" t="n">
        <v>2500</v>
      </c>
      <c r="G24" s="30" t="n">
        <v>2500</v>
      </c>
      <c r="H24" s="30" t="n">
        <v>2500</v>
      </c>
      <c r="I24" s="30" t="n">
        <v>2500</v>
      </c>
      <c r="J24" s="30" t="n">
        <v>2500</v>
      </c>
      <c r="K24" s="30" t="n">
        <v>2500</v>
      </c>
      <c r="L24" s="30" t="n">
        <v>2500</v>
      </c>
      <c r="M24" s="30" t="n">
        <v>2500</v>
      </c>
      <c r="N24" s="30" t="n">
        <v>2500</v>
      </c>
      <c r="O24" s="30" t="n">
        <v>2500</v>
      </c>
      <c r="P24" s="22" t="n">
        <f aca="false">SUM(D24:O24)</f>
        <v>30000</v>
      </c>
    </row>
    <row r="25" customFormat="false" ht="10.5" hidden="false" customHeight="false" outlineLevel="0" collapsed="false">
      <c r="A25" s="24" t="s">
        <v>50</v>
      </c>
      <c r="D25" s="30" t="n">
        <v>0</v>
      </c>
      <c r="E25" s="30" t="n">
        <v>0</v>
      </c>
      <c r="F25" s="30" t="n">
        <v>100</v>
      </c>
      <c r="G25" s="30" t="n">
        <v>150</v>
      </c>
      <c r="H25" s="30" t="n">
        <v>250</v>
      </c>
      <c r="I25" s="30" t="n">
        <v>400</v>
      </c>
      <c r="J25" s="30" t="n">
        <v>600</v>
      </c>
      <c r="K25" s="30" t="n">
        <v>700</v>
      </c>
      <c r="L25" s="30" t="n">
        <v>800</v>
      </c>
      <c r="M25" s="30" t="n">
        <v>900</v>
      </c>
      <c r="N25" s="30" t="n">
        <v>1000</v>
      </c>
      <c r="O25" s="30" t="n">
        <v>1100</v>
      </c>
      <c r="P25" s="22" t="n">
        <f aca="false">SUM(D25:O25)</f>
        <v>6000</v>
      </c>
    </row>
    <row r="26" customFormat="false" ht="10.5" hidden="false" customHeight="false" outlineLevel="0" collapsed="false">
      <c r="A26" s="24" t="s">
        <v>51</v>
      </c>
      <c r="D26" s="30" t="n">
        <v>2000</v>
      </c>
      <c r="E26" s="30" t="n">
        <v>2000</v>
      </c>
      <c r="F26" s="30" t="n">
        <v>2000</v>
      </c>
      <c r="G26" s="30" t="n">
        <v>3500</v>
      </c>
      <c r="H26" s="30" t="n">
        <v>3500</v>
      </c>
      <c r="I26" s="30" t="n">
        <v>3500</v>
      </c>
      <c r="J26" s="30" t="n">
        <v>3500</v>
      </c>
      <c r="K26" s="30" t="n">
        <v>3500</v>
      </c>
      <c r="L26" s="30" t="n">
        <v>5000</v>
      </c>
      <c r="M26" s="30" t="n">
        <v>5000</v>
      </c>
      <c r="N26" s="30" t="n">
        <v>5000</v>
      </c>
      <c r="O26" s="30" t="n">
        <v>5000</v>
      </c>
      <c r="P26" s="22" t="n">
        <f aca="false">SUM(D26:O26)</f>
        <v>43500</v>
      </c>
    </row>
    <row r="27" customFormat="false" ht="10.5" hidden="false" customHeight="false" outlineLevel="0" collapsed="false">
      <c r="A27" s="24" t="s">
        <v>52</v>
      </c>
      <c r="D27" s="30" t="n">
        <v>0</v>
      </c>
      <c r="E27" s="30" t="n">
        <v>0</v>
      </c>
      <c r="F27" s="30" t="n">
        <v>40</v>
      </c>
      <c r="G27" s="30" t="n">
        <v>80</v>
      </c>
      <c r="H27" s="30" t="n">
        <v>130</v>
      </c>
      <c r="I27" s="30" t="n">
        <v>190</v>
      </c>
      <c r="J27" s="30" t="n">
        <v>260</v>
      </c>
      <c r="K27" s="30" t="n">
        <v>330</v>
      </c>
      <c r="L27" s="30" t="n">
        <v>410</v>
      </c>
      <c r="M27" s="30" t="n">
        <v>510</v>
      </c>
      <c r="N27" s="30" t="n">
        <v>620</v>
      </c>
      <c r="O27" s="30" t="n">
        <v>730</v>
      </c>
      <c r="P27" s="22" t="n">
        <f aca="false">SUM(D27:O27)</f>
        <v>3300</v>
      </c>
    </row>
    <row r="28" customFormat="false" ht="10.5" hidden="false" customHeight="false" outlineLevel="0" collapsed="false">
      <c r="A28" s="24" t="s">
        <v>53</v>
      </c>
      <c r="D28" s="30" t="n">
        <v>400</v>
      </c>
      <c r="E28" s="30" t="n">
        <v>400</v>
      </c>
      <c r="F28" s="30" t="n">
        <v>400</v>
      </c>
      <c r="G28" s="30" t="n">
        <v>400</v>
      </c>
      <c r="H28" s="30" t="n">
        <v>700</v>
      </c>
      <c r="I28" s="30" t="n">
        <v>700</v>
      </c>
      <c r="J28" s="30" t="n">
        <v>700</v>
      </c>
      <c r="K28" s="30" t="n">
        <v>700</v>
      </c>
      <c r="L28" s="30" t="n">
        <v>1100</v>
      </c>
      <c r="M28" s="30" t="n">
        <v>1100</v>
      </c>
      <c r="N28" s="30" t="n">
        <v>1100</v>
      </c>
      <c r="O28" s="30" t="n">
        <v>1100</v>
      </c>
      <c r="P28" s="22" t="n">
        <f aca="false">SUM(D28:O28)</f>
        <v>8800</v>
      </c>
    </row>
    <row r="29" customFormat="false" ht="10.5" hidden="false" customHeight="false" outlineLevel="0" collapsed="false">
      <c r="A29" s="24" t="s">
        <v>54</v>
      </c>
      <c r="D29" s="30" t="n">
        <v>800</v>
      </c>
      <c r="E29" s="30" t="n">
        <v>800</v>
      </c>
      <c r="F29" s="30" t="n">
        <v>800</v>
      </c>
      <c r="G29" s="30" t="n">
        <v>800</v>
      </c>
      <c r="H29" s="30" t="n">
        <v>800</v>
      </c>
      <c r="I29" s="30" t="n">
        <v>800</v>
      </c>
      <c r="J29" s="30" t="n">
        <v>800</v>
      </c>
      <c r="K29" s="30" t="n">
        <v>800</v>
      </c>
      <c r="L29" s="30" t="n">
        <v>800</v>
      </c>
      <c r="M29" s="30" t="n">
        <v>800</v>
      </c>
      <c r="N29" s="30" t="n">
        <v>800</v>
      </c>
      <c r="O29" s="30" t="n">
        <v>800</v>
      </c>
      <c r="P29" s="22" t="n">
        <f aca="false">SUM(D29:O29)</f>
        <v>9600</v>
      </c>
    </row>
    <row r="30" customFormat="false" ht="10.5" hidden="false" customHeight="false" outlineLevel="0" collapsed="false">
      <c r="A30" s="24" t="s">
        <v>55</v>
      </c>
      <c r="D30" s="30" t="n">
        <v>0</v>
      </c>
      <c r="E30" s="30" t="n">
        <v>0</v>
      </c>
      <c r="F30" s="30" t="n">
        <v>0</v>
      </c>
      <c r="G30" s="30" t="n">
        <v>0</v>
      </c>
      <c r="H30" s="30" t="n">
        <v>0</v>
      </c>
      <c r="I30" s="30" t="n">
        <v>0</v>
      </c>
      <c r="J30" s="30" t="n">
        <v>900</v>
      </c>
      <c r="K30" s="30" t="n">
        <v>900</v>
      </c>
      <c r="L30" s="30" t="n">
        <v>900</v>
      </c>
      <c r="M30" s="30" t="n">
        <v>900</v>
      </c>
      <c r="N30" s="30" t="n">
        <v>900</v>
      </c>
      <c r="O30" s="30" t="n">
        <v>900</v>
      </c>
      <c r="P30" s="22" t="n">
        <f aca="false">SUM(D30:O30)</f>
        <v>5400</v>
      </c>
    </row>
    <row r="31" customFormat="false" ht="10.5" hidden="false" customHeight="false" outlineLevel="0" collapsed="false">
      <c r="A31" s="24" t="s">
        <v>56</v>
      </c>
      <c r="D31" s="30" t="n">
        <v>0</v>
      </c>
      <c r="E31" s="30" t="n">
        <v>0</v>
      </c>
      <c r="F31" s="30" t="n">
        <v>0</v>
      </c>
      <c r="G31" s="30" t="n">
        <v>0</v>
      </c>
      <c r="H31" s="30" t="n">
        <v>0</v>
      </c>
      <c r="I31" s="30" t="n">
        <v>0</v>
      </c>
      <c r="J31" s="30" t="n">
        <v>0</v>
      </c>
      <c r="K31" s="30" t="n">
        <v>0</v>
      </c>
      <c r="L31" s="30" t="n">
        <v>0</v>
      </c>
      <c r="M31" s="30" t="n">
        <v>0</v>
      </c>
      <c r="N31" s="30" t="n">
        <v>0</v>
      </c>
      <c r="O31" s="30" t="n">
        <v>0</v>
      </c>
      <c r="P31" s="22" t="n">
        <f aca="false">SUM(D31:O31)</f>
        <v>0</v>
      </c>
    </row>
    <row r="32" customFormat="false" ht="10.5" hidden="false" customHeight="false" outlineLevel="0" collapsed="false">
      <c r="A32" s="24" t="s">
        <v>57</v>
      </c>
      <c r="D32" s="30" t="n">
        <v>120</v>
      </c>
      <c r="E32" s="30" t="n">
        <v>120</v>
      </c>
      <c r="F32" s="30" t="n">
        <v>120</v>
      </c>
      <c r="G32" s="30" t="n">
        <v>120</v>
      </c>
      <c r="H32" s="30" t="n">
        <v>120</v>
      </c>
      <c r="I32" s="30" t="n">
        <v>120</v>
      </c>
      <c r="J32" s="30" t="n">
        <v>120</v>
      </c>
      <c r="K32" s="30" t="n">
        <v>120</v>
      </c>
      <c r="L32" s="30" t="n">
        <v>120</v>
      </c>
      <c r="M32" s="30" t="n">
        <v>120</v>
      </c>
      <c r="N32" s="30" t="n">
        <v>120</v>
      </c>
      <c r="O32" s="30" t="n">
        <v>120</v>
      </c>
      <c r="P32" s="22" t="n">
        <f aca="false">SUM(D32:O32)</f>
        <v>1440</v>
      </c>
    </row>
    <row r="33" customFormat="false" ht="10.5" hidden="false" customHeight="false" outlineLevel="0" collapsed="false">
      <c r="A33" s="24" t="s">
        <v>58</v>
      </c>
      <c r="D33" s="30" t="n">
        <v>250</v>
      </c>
      <c r="E33" s="30" t="n">
        <v>250</v>
      </c>
      <c r="F33" s="30" t="n">
        <v>250</v>
      </c>
      <c r="G33" s="30" t="n">
        <v>250</v>
      </c>
      <c r="H33" s="30" t="n">
        <v>250</v>
      </c>
      <c r="I33" s="30" t="n">
        <v>250</v>
      </c>
      <c r="J33" s="30" t="n">
        <v>250</v>
      </c>
      <c r="K33" s="30" t="n">
        <v>250</v>
      </c>
      <c r="L33" s="30" t="n">
        <v>250</v>
      </c>
      <c r="M33" s="30" t="n">
        <v>250</v>
      </c>
      <c r="N33" s="30" t="n">
        <v>250</v>
      </c>
      <c r="O33" s="30" t="n">
        <v>250</v>
      </c>
      <c r="P33" s="22" t="n">
        <f aca="false">SUM(D33:O33)</f>
        <v>3000</v>
      </c>
    </row>
    <row r="34" customFormat="false" ht="10.5" hidden="false" customHeight="false" outlineLevel="0" collapsed="false">
      <c r="A34" s="24" t="s">
        <v>59</v>
      </c>
      <c r="D34" s="30" t="n">
        <v>400</v>
      </c>
      <c r="E34" s="30" t="n">
        <v>400</v>
      </c>
      <c r="F34" s="30" t="n">
        <v>400</v>
      </c>
      <c r="G34" s="30" t="n">
        <v>400</v>
      </c>
      <c r="H34" s="30" t="n">
        <v>400</v>
      </c>
      <c r="I34" s="30" t="n">
        <v>400</v>
      </c>
      <c r="J34" s="30" t="n">
        <v>400</v>
      </c>
      <c r="K34" s="30" t="n">
        <v>400</v>
      </c>
      <c r="L34" s="30" t="n">
        <v>400</v>
      </c>
      <c r="M34" s="30" t="n">
        <v>400</v>
      </c>
      <c r="N34" s="30" t="n">
        <v>400</v>
      </c>
      <c r="O34" s="30" t="n">
        <v>400</v>
      </c>
      <c r="P34" s="22" t="n">
        <f aca="false">SUM(D34:O34)</f>
        <v>4800</v>
      </c>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56"/>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83984375" defaultRowHeight="12.75" zeroHeight="false" outlineLevelRow="0" outlineLevelCol="0"/>
  <cols>
    <col collapsed="false" customWidth="true" hidden="false" outlineLevel="0" max="1" min="1" style="31" width="31.83"/>
    <col collapsed="false" customWidth="true" hidden="false" outlineLevel="0" max="2" min="2" style="31" width="13.5"/>
    <col collapsed="false" customWidth="true" hidden="false" outlineLevel="0" max="3" min="3" style="31" width="14.83"/>
    <col collapsed="false" customWidth="true" hidden="false" outlineLevel="0" max="6" min="4" style="31" width="13.01"/>
    <col collapsed="false" customWidth="true" hidden="false" outlineLevel="0" max="7" min="7" style="31" width="13.17"/>
    <col collapsed="false" customWidth="false" hidden="false" outlineLevel="0" max="1024" min="8" style="31" width="8.83"/>
  </cols>
  <sheetData>
    <row r="1" customFormat="false" ht="15.75" hidden="false" customHeight="true" outlineLevel="0" collapsed="false">
      <c r="A1" s="10" t="s">
        <v>60</v>
      </c>
    </row>
    <row r="3" customFormat="false" ht="12.75" hidden="false" customHeight="false" outlineLevel="0" collapsed="false">
      <c r="B3" s="32" t="s">
        <v>61</v>
      </c>
      <c r="C3" s="32" t="s">
        <v>62</v>
      </c>
      <c r="D3" s="32" t="s">
        <v>63</v>
      </c>
      <c r="E3" s="32" t="s">
        <v>64</v>
      </c>
      <c r="F3" s="32" t="s">
        <v>65</v>
      </c>
    </row>
    <row r="4" customFormat="false" ht="12.75" hidden="false" customHeight="false" outlineLevel="0" collapsed="false">
      <c r="A4" s="33" t="s">
        <v>66</v>
      </c>
      <c r="B4" s="34" t="n">
        <f aca="false">'Entrada de $'!N5</f>
        <v>171898</v>
      </c>
      <c r="C4" s="34" t="n">
        <f aca="false">B4*(1+InformacoesBasicas!D29)</f>
        <v>343796</v>
      </c>
      <c r="D4" s="34" t="n">
        <f aca="false">C4*(1+InformacoesBasicas!D30)</f>
        <v>567263.4</v>
      </c>
      <c r="E4" s="34" t="n">
        <f aca="false">D4*(1+InformacoesBasicas!D31)</f>
        <v>709079.25</v>
      </c>
      <c r="F4" s="34" t="n">
        <f aca="false">E4*(1+InformacoesBasicas!D32)</f>
        <v>744533.2125</v>
      </c>
    </row>
    <row r="5" customFormat="false" ht="12.75" hidden="false" customHeight="false" outlineLevel="0" collapsed="false">
      <c r="A5" s="31" t="s">
        <v>67</v>
      </c>
      <c r="B5" s="35" t="n">
        <f aca="false">IF(InformacoesBasicas!$B10=1,0.18,IF(InformacoesBasicas!$B10=2,0.05,IF(InformacoesBasicas!$B10=1,0.1,0.1)))*B4</f>
        <v>8594.9</v>
      </c>
      <c r="C5" s="35" t="n">
        <f aca="false">IF(InformacoesBasicas!$B10=1,0.18,IF(InformacoesBasicas!$B10=2,0.05,IF(InformacoesBasicas!$B10=1,0.1,0.1)))*C4</f>
        <v>17189.8</v>
      </c>
      <c r="D5" s="35" t="n">
        <f aca="false">IF(InformacoesBasicas!$B10=1,0.18,IF(InformacoesBasicas!$B10=2,0.05,IF(InformacoesBasicas!$B10=1,0.1,0.1)))*D4</f>
        <v>28363.17</v>
      </c>
      <c r="E5" s="35" t="n">
        <f aca="false">IF(InformacoesBasicas!$B10=1,0.18,IF(InformacoesBasicas!$B10=2,0.05,IF(InformacoesBasicas!$B10=1,0.1,0.1)))*E4</f>
        <v>35453.9625</v>
      </c>
      <c r="F5" s="35" t="n">
        <f aca="false">IF(InformacoesBasicas!$B10=1,0.18,IF(InformacoesBasicas!$B10=2,0.05,IF(InformacoesBasicas!$B10=1,0.1,0.1)))*F4</f>
        <v>37226.660625</v>
      </c>
    </row>
    <row r="6" customFormat="false" ht="12.75" hidden="false" customHeight="false" outlineLevel="0" collapsed="false">
      <c r="A6" s="33" t="s">
        <v>68</v>
      </c>
      <c r="B6" s="34" t="n">
        <f aca="false">B4-B5</f>
        <v>163303.1</v>
      </c>
      <c r="C6" s="34" t="n">
        <f aca="false">C4-C5</f>
        <v>326606.2</v>
      </c>
      <c r="D6" s="34" t="n">
        <f aca="false">D4-D5</f>
        <v>538900.23</v>
      </c>
      <c r="E6" s="34" t="n">
        <f aca="false">E4-E5</f>
        <v>673625.2875</v>
      </c>
      <c r="F6" s="34" t="n">
        <f aca="false">F4-F5</f>
        <v>707306.551875</v>
      </c>
    </row>
    <row r="7" customFormat="false" ht="12.75" hidden="false" customHeight="false" outlineLevel="0" collapsed="false">
      <c r="A7" s="36" t="s">
        <v>69</v>
      </c>
      <c r="B7" s="37" t="n">
        <f aca="false">'Calculo de Custo'!N6</f>
        <v>34502</v>
      </c>
      <c r="C7" s="35" t="n">
        <f aca="false">B7*(1+InformacoesBasicas!D43)</f>
        <v>38297.22</v>
      </c>
      <c r="D7" s="35" t="n">
        <f aca="false">C7*(1+InformacoesBasicas!D44)</f>
        <v>42509.9142</v>
      </c>
      <c r="E7" s="35" t="n">
        <f aca="false">D7*(1+InformacoesBasicas!D45)</f>
        <v>47186.004762</v>
      </c>
      <c r="F7" s="35" t="n">
        <f aca="false">E7*(1+InformacoesBasicas!D46)</f>
        <v>52376.46528582</v>
      </c>
    </row>
    <row r="8" customFormat="false" ht="12.75" hidden="false" customHeight="false" outlineLevel="0" collapsed="false">
      <c r="A8" s="31" t="s">
        <v>70</v>
      </c>
      <c r="B8" s="35" t="n">
        <f aca="false">'Saídas de $'!P22</f>
        <v>235840</v>
      </c>
      <c r="C8" s="35" t="n">
        <f aca="false">B8*(1+InformacoesBasicas!D36)</f>
        <v>306592</v>
      </c>
      <c r="D8" s="35" t="n">
        <f aca="false">C8*(1+InformacoesBasicas!D37)</f>
        <v>352580.8</v>
      </c>
      <c r="E8" s="35" t="n">
        <f aca="false">D8*(1+InformacoesBasicas!D38)</f>
        <v>370209.84</v>
      </c>
      <c r="F8" s="35" t="n">
        <f aca="false">E8*(1+InformacoesBasicas!D39)</f>
        <v>370209.84</v>
      </c>
    </row>
    <row r="9" customFormat="false" ht="12.75" hidden="false" customHeight="false" outlineLevel="0" collapsed="false">
      <c r="A9" s="31" t="s">
        <v>71</v>
      </c>
      <c r="B9" s="35" t="n">
        <f aca="false">B6-B8-B7</f>
        <v>-107038.9</v>
      </c>
      <c r="C9" s="35" t="n">
        <f aca="false">C6-C8-C7</f>
        <v>-18283.02</v>
      </c>
      <c r="D9" s="35" t="n">
        <f aca="false">D6-D8-D7</f>
        <v>143809.5158</v>
      </c>
      <c r="E9" s="35" t="n">
        <f aca="false">E6-E8-E7</f>
        <v>256229.442738</v>
      </c>
      <c r="F9" s="35" t="n">
        <f aca="false">F6-F8-F7</f>
        <v>284720.24658918</v>
      </c>
    </row>
    <row r="10" customFormat="false" ht="12.75" hidden="false" customHeight="false" outlineLevel="0" collapsed="false">
      <c r="A10" s="31" t="s">
        <v>72</v>
      </c>
      <c r="B10" s="35" t="n">
        <f aca="false">IF(B9&gt;0,B9*0.25,0)</f>
        <v>0</v>
      </c>
      <c r="C10" s="35" t="n">
        <f aca="false">IF(C9&gt;0,C9*0.25,0)</f>
        <v>0</v>
      </c>
      <c r="D10" s="35" t="n">
        <f aca="false">IF(D9&gt;0,D9*0.25,0)</f>
        <v>35952.37895</v>
      </c>
      <c r="E10" s="35" t="n">
        <f aca="false">IF(E9&gt;0,E9*0.25,0)</f>
        <v>64057.3606845</v>
      </c>
      <c r="F10" s="35" t="n">
        <f aca="false">IF(F9&gt;0,F9*0.25,0)</f>
        <v>71180.061647295</v>
      </c>
    </row>
    <row r="11" customFormat="false" ht="12.75" hidden="false" customHeight="false" outlineLevel="0" collapsed="false">
      <c r="A11" s="33" t="s">
        <v>73</v>
      </c>
      <c r="B11" s="34" t="n">
        <f aca="false">B9-B10</f>
        <v>-107038.9</v>
      </c>
      <c r="C11" s="34" t="n">
        <f aca="false">C9-C10</f>
        <v>-18283.02</v>
      </c>
      <c r="D11" s="34" t="n">
        <f aca="false">D9-D10</f>
        <v>107857.13685</v>
      </c>
      <c r="E11" s="34" t="n">
        <f aca="false">E9-E10</f>
        <v>192172.0820535</v>
      </c>
      <c r="F11" s="34" t="n">
        <f aca="false">F9-F10</f>
        <v>213540.184941885</v>
      </c>
    </row>
    <row r="14" customFormat="false" ht="15.75" hidden="false" customHeight="true" outlineLevel="0" collapsed="false">
      <c r="A14" s="10" t="s">
        <v>74</v>
      </c>
    </row>
    <row r="15" customFormat="false" ht="15.75" hidden="false" customHeight="true" outlineLevel="0" collapsed="false">
      <c r="A15" s="10"/>
      <c r="B15" s="32" t="s">
        <v>61</v>
      </c>
      <c r="C15" s="32" t="s">
        <v>62</v>
      </c>
      <c r="D15" s="32" t="s">
        <v>63</v>
      </c>
      <c r="E15" s="32" t="s">
        <v>64</v>
      </c>
      <c r="F15" s="32" t="s">
        <v>65</v>
      </c>
    </row>
    <row r="16" customFormat="false" ht="12.75" hidden="false" customHeight="false" outlineLevel="0" collapsed="false">
      <c r="A16" s="33" t="s">
        <v>75</v>
      </c>
      <c r="B16" s="34" t="n">
        <f aca="false">B4</f>
        <v>171898</v>
      </c>
      <c r="C16" s="34" t="n">
        <f aca="false">C4</f>
        <v>343796</v>
      </c>
      <c r="D16" s="34" t="n">
        <f aca="false">D4</f>
        <v>567263.4</v>
      </c>
      <c r="E16" s="34" t="n">
        <f aca="false">E4</f>
        <v>709079.25</v>
      </c>
      <c r="F16" s="34" t="n">
        <f aca="false">F4</f>
        <v>744533.2125</v>
      </c>
    </row>
    <row r="17" customFormat="false" ht="12.75" hidden="false" customHeight="false" outlineLevel="0" collapsed="false">
      <c r="A17" s="31" t="s">
        <v>76</v>
      </c>
      <c r="B17" s="35" t="n">
        <f aca="false">B5+B8+B10+B7+'Saídas de $'!B5</f>
        <v>422736.9</v>
      </c>
      <c r="C17" s="35" t="n">
        <f aca="false">C5+C8+C10+C7</f>
        <v>362079.02</v>
      </c>
      <c r="D17" s="35" t="n">
        <f aca="false">D5+D8+D10+D7</f>
        <v>459406.26315</v>
      </c>
      <c r="E17" s="35" t="n">
        <f aca="false">E5+E8+E10+E7</f>
        <v>516907.1679465</v>
      </c>
      <c r="F17" s="35" t="n">
        <f aca="false">F5+F8+F10+F7</f>
        <v>530993.027558115</v>
      </c>
    </row>
    <row r="18" customFormat="false" ht="12.75" hidden="false" customHeight="false" outlineLevel="0" collapsed="false">
      <c r="A18" s="31" t="s">
        <v>77</v>
      </c>
      <c r="B18" s="35" t="n">
        <f aca="false">SUM('Saídas de $'!C$10:$C$12)</f>
        <v>3000</v>
      </c>
      <c r="C18" s="35" t="n">
        <f aca="false">SUM('Saídas de $'!$C$10:D$12)</f>
        <v>3000</v>
      </c>
      <c r="D18" s="35" t="n">
        <f aca="false">SUM('Saídas de $'!$C$10:E$12)</f>
        <v>3000</v>
      </c>
      <c r="E18" s="35" t="n">
        <f aca="false">SUM('Saídas de $'!$C$10:F$12)</f>
        <v>3000</v>
      </c>
      <c r="F18" s="35" t="n">
        <f aca="false">SUM('Saídas de $'!$C$10:G$12)</f>
        <v>3000</v>
      </c>
    </row>
    <row r="19" customFormat="false" ht="12.75" hidden="false" customHeight="false" outlineLevel="0" collapsed="false">
      <c r="A19" s="33" t="s">
        <v>78</v>
      </c>
      <c r="B19" s="34" t="n">
        <f aca="false">B16-B17+B18</f>
        <v>-247838.9</v>
      </c>
      <c r="C19" s="34" t="n">
        <f aca="false">C16-C17+C18</f>
        <v>-15283.02</v>
      </c>
      <c r="D19" s="34" t="n">
        <f aca="false">D16-D17+D18</f>
        <v>110857.13685</v>
      </c>
      <c r="E19" s="34" t="n">
        <f aca="false">E16-E17+E18</f>
        <v>195172.0820535</v>
      </c>
      <c r="F19" s="34" t="n">
        <f aca="false">F16-F17+F18</f>
        <v>216540.184941885</v>
      </c>
    </row>
    <row r="23" customFormat="false" ht="12.75" hidden="false" customHeight="false" outlineLevel="0" collapsed="false">
      <c r="A23" s="38" t="s">
        <v>79</v>
      </c>
      <c r="B23" s="33"/>
      <c r="C23" s="39" t="n">
        <f aca="false">IRR(B56:G56)</f>
        <v>0.205680191191331</v>
      </c>
      <c r="D23" s="33" t="s">
        <v>80</v>
      </c>
    </row>
    <row r="25" customFormat="false" ht="12.75" hidden="false" customHeight="false" outlineLevel="0" collapsed="false">
      <c r="C25" s="40"/>
    </row>
    <row r="55" customFormat="false" ht="12.75" hidden="false" customHeight="false" outlineLevel="0" collapsed="false">
      <c r="A55" s="31" t="s">
        <v>81</v>
      </c>
      <c r="B55" s="31" t="s">
        <v>82</v>
      </c>
      <c r="C55" s="31" t="s">
        <v>83</v>
      </c>
      <c r="D55" s="31" t="s">
        <v>84</v>
      </c>
      <c r="E55" s="31" t="s">
        <v>85</v>
      </c>
      <c r="F55" s="31" t="s">
        <v>86</v>
      </c>
      <c r="G55" s="31" t="s">
        <v>87</v>
      </c>
    </row>
    <row r="56" customFormat="false" ht="12.75" hidden="false" customHeight="false" outlineLevel="0" collapsed="false">
      <c r="A56" s="31" t="s">
        <v>78</v>
      </c>
      <c r="B56" s="41" t="n">
        <f aca="false">-'Saídas de $'!B8</f>
        <v>-143800</v>
      </c>
      <c r="C56" s="41" t="n">
        <f aca="false">B11+'Saídas de $'!$P33</f>
        <v>-104038.9</v>
      </c>
      <c r="D56" s="41" t="n">
        <f aca="false">C11+'Saídas de $'!$P33</f>
        <v>-15283.02</v>
      </c>
      <c r="E56" s="41" t="n">
        <f aca="false">D11+'Saídas de $'!$P33</f>
        <v>110857.13685</v>
      </c>
      <c r="F56" s="41" t="n">
        <f aca="false">E11+'Saídas de $'!$P33</f>
        <v>195172.0820535</v>
      </c>
      <c r="G56" s="41" t="n">
        <f aca="false">F11+'Saídas de $'!$P33</f>
        <v>216540.184941885</v>
      </c>
    </row>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4"/>
    <col collapsed="false" customWidth="true" hidden="false" outlineLevel="0" max="2" min="2" style="0" width="95"/>
  </cols>
  <sheetData>
    <row r="1" customFormat="false" ht="15" hidden="false" customHeight="true" outlineLevel="0" collapsed="false">
      <c r="A1" s="42" t="s">
        <v>88</v>
      </c>
      <c r="B1" s="43"/>
    </row>
    <row r="2" customFormat="false" ht="15" hidden="false" customHeight="true" outlineLevel="0" collapsed="false">
      <c r="A2" s="44"/>
      <c r="B2" s="43"/>
    </row>
    <row r="3" customFormat="false" ht="25.5" hidden="false" customHeight="true" outlineLevel="0" collapsed="false">
      <c r="A3" s="44" t="s">
        <v>89</v>
      </c>
      <c r="B3" s="43" t="s">
        <v>90</v>
      </c>
    </row>
    <row r="4" customFormat="false" ht="39" hidden="false" customHeight="true" outlineLevel="0" collapsed="false">
      <c r="A4" s="44" t="s">
        <v>91</v>
      </c>
      <c r="B4" s="43" t="s">
        <v>92</v>
      </c>
    </row>
    <row r="5" customFormat="false" ht="39" hidden="false" customHeight="true" outlineLevel="0" collapsed="false">
      <c r="A5" s="44" t="s">
        <v>93</v>
      </c>
      <c r="B5" s="43" t="s">
        <v>94</v>
      </c>
    </row>
    <row r="6" customFormat="false" ht="25.5" hidden="false" customHeight="true" outlineLevel="0" collapsed="false">
      <c r="A6" s="44" t="s">
        <v>95</v>
      </c>
      <c r="B6" s="43" t="s">
        <v>96</v>
      </c>
    </row>
    <row r="7" customFormat="false" ht="25.5" hidden="false" customHeight="true" outlineLevel="0" collapsed="false">
      <c r="A7" s="44" t="s">
        <v>97</v>
      </c>
      <c r="B7" s="43" t="s">
        <v>98</v>
      </c>
    </row>
    <row r="8" customFormat="false" ht="39" hidden="false" customHeight="true" outlineLevel="0" collapsed="false">
      <c r="A8" s="44" t="s">
        <v>99</v>
      </c>
      <c r="B8" s="43" t="s">
        <v>100</v>
      </c>
    </row>
    <row r="9" customFormat="false" ht="25.5" hidden="false" customHeight="true" outlineLevel="0" collapsed="false">
      <c r="A9" s="44" t="s">
        <v>101</v>
      </c>
      <c r="B9" s="43" t="s">
        <v>102</v>
      </c>
    </row>
    <row r="10" customFormat="false" ht="39" hidden="false" customHeight="true" outlineLevel="0" collapsed="false">
      <c r="A10" s="44" t="s">
        <v>103</v>
      </c>
      <c r="B10" s="43" t="s">
        <v>104</v>
      </c>
    </row>
    <row r="11" customFormat="false" ht="15" hidden="false" customHeight="true" outlineLevel="0" collapsed="false">
      <c r="A11" s="44"/>
      <c r="B11" s="43"/>
    </row>
    <row r="12" customFormat="false" ht="15" hidden="false" customHeight="true" outlineLevel="0" collapsed="false">
      <c r="A12" s="44" t="s">
        <v>105</v>
      </c>
      <c r="B12" s="43"/>
    </row>
    <row r="13" customFormat="false" ht="39" hidden="false" customHeight="true" outlineLevel="0" collapsed="false">
      <c r="A13" s="44" t="s">
        <v>106</v>
      </c>
      <c r="B13" s="43" t="s">
        <v>107</v>
      </c>
    </row>
    <row r="14" customFormat="false" ht="25.5" hidden="false" customHeight="true" outlineLevel="0" collapsed="false">
      <c r="A14" s="44" t="s">
        <v>108</v>
      </c>
      <c r="B14" s="43" t="s">
        <v>109</v>
      </c>
    </row>
    <row r="15" customFormat="false" ht="25.5" hidden="false" customHeight="true" outlineLevel="0" collapsed="false">
      <c r="A15" s="44" t="s">
        <v>110</v>
      </c>
      <c r="B15" s="43" t="s">
        <v>111</v>
      </c>
    </row>
    <row r="16" customFormat="false" ht="39" hidden="false" customHeight="true" outlineLevel="0" collapsed="false">
      <c r="A16" s="44" t="s">
        <v>112</v>
      </c>
      <c r="B16" s="43" t="s">
        <v>113</v>
      </c>
    </row>
    <row r="17" customFormat="false" ht="15" hidden="false" customHeight="true" outlineLevel="0" collapsed="false">
      <c r="A17" s="44" t="s">
        <v>114</v>
      </c>
      <c r="B17" s="43" t="s">
        <v>115</v>
      </c>
    </row>
    <row r="18" customFormat="false" ht="25.5" hidden="false" customHeight="true" outlineLevel="0" collapsed="false">
      <c r="A18" s="44" t="s">
        <v>116</v>
      </c>
      <c r="B18" s="43" t="s">
        <v>117</v>
      </c>
    </row>
    <row r="19" customFormat="false" ht="15" hidden="false" customHeight="true" outlineLevel="0" collapsed="false">
      <c r="A19" s="44"/>
      <c r="B19" s="43"/>
    </row>
    <row r="20" customFormat="false" ht="25.5" hidden="false" customHeight="true" outlineLevel="0" collapsed="false">
      <c r="A20" s="44" t="s">
        <v>118</v>
      </c>
      <c r="B20" s="43"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2008-08-21T13:10:58Z</dcterms:created>
  <dc:creator>Valuable Customer</dc:creator>
  <dc:description/>
  <dc:language>en-US</dc:language>
  <cp:lastModifiedBy>ivan henrique tavares pauletti</cp:lastModifiedBy>
  <dcterms:modified xsi:type="dcterms:W3CDTF">2026-09-01T00:33:44Z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0x01010086587DEE977C9143A042F3416864AA9F</vt:lpwstr>
  </property>
</Properties>
</file>